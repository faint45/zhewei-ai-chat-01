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83\265k共用資料\計畫書\00.計畫送審管制表\"/>
    </mc:Choice>
  </mc:AlternateContent>
  <bookViews>
    <workbookView showHorizontalScroll="0" showVerticalScroll="0" showSheetTabs="0" xWindow="0" yWindow="0" windowWidth="28800" windowHeight="12165"/>
  </bookViews>
  <sheets>
    <sheet name="計畫書" sheetId="41" r:id="rId1"/>
    <sheet name="計算書" sheetId="43" r:id="rId2"/>
    <sheet name="廠商檢測性報告" sheetId="44" r:id="rId3"/>
    <sheet name="計畫書 (2)" sheetId="29" state="hidden" r:id="rId4"/>
    <sheet name="施工圖" sheetId="24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A" localSheetId="4">[1]A!#REF!</definedName>
    <definedName name="\A" localSheetId="3">[1]A!#REF!</definedName>
    <definedName name="\A">[1]A!#REF!</definedName>
    <definedName name="\i" localSheetId="4">[2]單價2!#REF!</definedName>
    <definedName name="\i" localSheetId="3">[2]單價2!#REF!</definedName>
    <definedName name="\i">[3]單價2!#REF!</definedName>
    <definedName name="\p" localSheetId="4">[2]單價2!#REF!</definedName>
    <definedName name="\p" localSheetId="3">[2]單價2!#REF!</definedName>
    <definedName name="\p">[3]單價2!#REF!</definedName>
    <definedName name="___SD280">[4]鋼筋材料!$M$9</definedName>
    <definedName name="___SD420">[4]鋼筋材料!$M$10</definedName>
    <definedName name="___SD42011">[4]鋼筋材料!$M$12</definedName>
    <definedName name="___SD4209">[4]鋼筋材料!$M$11</definedName>
    <definedName name="___SO4" localSheetId="4">[5]假設貼貼!#REF!</definedName>
    <definedName name="___SO4" localSheetId="3">[5]假設貼貼!#REF!</definedName>
    <definedName name="___SO4">[5]假設貼貼!#REF!</definedName>
    <definedName name="___SS2" localSheetId="4">#REF!</definedName>
    <definedName name="___SS2" localSheetId="3">#REF!</definedName>
    <definedName name="___SS2">#REF!</definedName>
    <definedName name="__SD280">[4]鋼筋材料!$M$9</definedName>
    <definedName name="__SD420">[4]鋼筋材料!$M$10</definedName>
    <definedName name="__SD42011">[4]鋼筋材料!$M$12</definedName>
    <definedName name="__SD4209">[4]鋼筋材料!$M$11</definedName>
    <definedName name="__SO4" localSheetId="4">[5]假設貼貼!#REF!</definedName>
    <definedName name="__SO4" localSheetId="3">[5]假設貼貼!#REF!</definedName>
    <definedName name="__SO4">[5]假設貼貼!#REF!</definedName>
    <definedName name="__SS2" localSheetId="4">#REF!</definedName>
    <definedName name="__SS2" localSheetId="3">#REF!</definedName>
    <definedName name="__SS2">#REF!</definedName>
    <definedName name="_1.5cm厚不銹鋼板底座" localSheetId="4">#REF!</definedName>
    <definedName name="_1.5cm厚不銹鋼板底座" localSheetId="3">#REF!</definedName>
    <definedName name="_1.5cm厚不銹鋼板底座">#REF!</definedName>
    <definedName name="_1.5mm厚不銹鋼板" localSheetId="4">#REF!</definedName>
    <definedName name="_1.5mm厚不銹鋼板" localSheetId="3">#REF!</definedName>
    <definedName name="_1.5mm厚不銹鋼板">#REF!</definedName>
    <definedName name="_1_1_2_給水管" localSheetId="4">#REF!</definedName>
    <definedName name="_1_1_2_給水管" localSheetId="3">#REF!</definedName>
    <definedName name="_1_1_2_給水管">#REF!</definedName>
    <definedName name="_1_3水泥砂漿" localSheetId="4">#REF!</definedName>
    <definedName name="_1_3水泥砂漿" localSheetId="3">#REF!</definedName>
    <definedName name="_1_3水泥砂漿">#REF!</definedName>
    <definedName name="_1_line_車道支撐_H300_300" localSheetId="4">#REF!</definedName>
    <definedName name="_1_line_車道支撐_H300_300" localSheetId="3">#REF!</definedName>
    <definedName name="_1_line_車道支撐_H300_300">#REF!</definedName>
    <definedName name="_1_line_車道支撐_H350_350" localSheetId="4">#REF!</definedName>
    <definedName name="_1_line_車道支撐_H350_350" localSheetId="3">#REF!</definedName>
    <definedName name="_1_line_車道支撐_H350_350">#REF!</definedName>
    <definedName name="_10_10止滑磚">[6]工料單價!$B$22</definedName>
    <definedName name="_10_HDPE高抗壓有孔管" localSheetId="4">#REF!</definedName>
    <definedName name="_10_HDPE高抗壓有孔管" localSheetId="3">#REF!</definedName>
    <definedName name="_10_HDPE高抗壓有孔管">#REF!</definedName>
    <definedName name="_10_HDPE高抗壓無孔管" localSheetId="4">#REF!</definedName>
    <definedName name="_10_HDPE高抗壓無孔管" localSheetId="3">#REF!</definedName>
    <definedName name="_10_HDPE高抗壓無孔管">#REF!</definedName>
    <definedName name="_10×10×0.4cm角鐵" localSheetId="4">#REF!</definedName>
    <definedName name="_10×10×0.4cm角鐵" localSheetId="3">#REF!</definedName>
    <definedName name="_10×10×0.4cm角鐵">#REF!</definedName>
    <definedName name="_100×100×10mm箱型柱" localSheetId="4">#REF!</definedName>
    <definedName name="_100×100×10mm箱型柱" localSheetId="3">#REF!</definedName>
    <definedName name="_100×100×10mm箱型柱">#REF!</definedName>
    <definedName name="_100×100×6×8mm_H型鋼" localSheetId="4">#REF!</definedName>
    <definedName name="_100×100×6×8mm_H型鋼" localSheetId="3">#REF!</definedName>
    <definedName name="_100×100×6×8mm_H型鋼">#REF!</definedName>
    <definedName name="_10cmφPVC管" localSheetId="4">#REF!</definedName>
    <definedName name="_10cmφPVC管" localSheetId="3">#REF!</definedName>
    <definedName name="_10cmφPVC管">#REF!</definedName>
    <definedName name="_10cm厚花崗岩塊石物料_金字塔" localSheetId="4">#REF!</definedName>
    <definedName name="_10cm厚花崗岩塊石物料_金字塔" localSheetId="3">#REF!</definedName>
    <definedName name="_10cm厚花崗岩塊石物料_金字塔">#REF!</definedName>
    <definedName name="_10cm預鑄輕質牆" localSheetId="4">#REF!</definedName>
    <definedName name="_10cm預鑄輕質牆" localSheetId="3">#REF!</definedName>
    <definedName name="_10cm預鑄輕質牆">#REF!</definedName>
    <definedName name="_10cm鋁企口天花" localSheetId="4">#REF!</definedName>
    <definedName name="_10cm鋁企口天花" localSheetId="3">#REF!</definedName>
    <definedName name="_10cm鋁企口天花">#REF!</definedName>
    <definedName name="_10號續接器安裝工資" localSheetId="4">#REF!</definedName>
    <definedName name="_10號續接器安裝工資" localSheetId="3">#REF!</definedName>
    <definedName name="_10號續接器安裝工資">#REF!</definedName>
    <definedName name="_10號續接器物料" localSheetId="4">#REF!</definedName>
    <definedName name="_10號續接器物料" localSheetId="3">#REF!</definedName>
    <definedName name="_10號續接器物料">#REF!</definedName>
    <definedName name="_15cm鋁企口天花" localSheetId="4">#REF!</definedName>
    <definedName name="_15cm鋁企口天花" localSheetId="3">#REF!</definedName>
    <definedName name="_15cm鋁企口天花">#REF!</definedName>
    <definedName name="_15M12_" localSheetId="4" hidden="1">{"'週報'!$A$1:$U$33"}</definedName>
    <definedName name="_15M12_" localSheetId="3" hidden="1">{"'週報'!$A$1:$U$33"}</definedName>
    <definedName name="_15M12_" hidden="1">{"'週報'!$A$1:$U$33"}</definedName>
    <definedName name="_16mmφ不銹鋼套管" localSheetId="4">#REF!</definedName>
    <definedName name="_16mmφ不銹鋼套管" localSheetId="3">#REF!</definedName>
    <definedName name="_16mmφ不銹鋼套管">#REF!</definedName>
    <definedName name="_16S1_" localSheetId="3">#REF!</definedName>
    <definedName name="_16S1_">#REF!</definedName>
    <definedName name="_17m高挑高排架" localSheetId="4">#REF!</definedName>
    <definedName name="_17m高挑高排架" localSheetId="3">#REF!</definedName>
    <definedName name="_17m高挑高排架">#REF!</definedName>
    <definedName name="_17S2_">#REF!</definedName>
    <definedName name="_18S3_">#REF!</definedName>
    <definedName name="_19_line_車道支撐_H300_300" localSheetId="4">#REF!</definedName>
    <definedName name="_19_line_車道支撐_H300_300" localSheetId="3">#REF!</definedName>
    <definedName name="_19_line_車道支撐_H300_300">#REF!</definedName>
    <definedName name="_19_line_車道支撐_H350_350" localSheetId="4">#REF!</definedName>
    <definedName name="_19_line_車道支撐_H350_350" localSheetId="3">#REF!</definedName>
    <definedName name="_19_line_車道支撐_H350_350">#REF!</definedName>
    <definedName name="_1F採水口SUS面板" localSheetId="4">#REF!</definedName>
    <definedName name="_1F採水口SUS面板" localSheetId="3">#REF!</definedName>
    <definedName name="_1F採水口SUS面板">#REF!</definedName>
    <definedName name="_1M12_" localSheetId="4" hidden="1">{"'週報'!$A$1:$U$33"}</definedName>
    <definedName name="_1M12_" localSheetId="3" hidden="1">{"'週報'!$A$1:$U$33"}</definedName>
    <definedName name="_1M12_" hidden="1">{"'週報'!$A$1:$U$33"}</definedName>
    <definedName name="_1S1_" localSheetId="4">#REF!</definedName>
    <definedName name="_1S1_" localSheetId="3">#REF!</definedName>
    <definedName name="_1S1_">#REF!</definedName>
    <definedName name="_2.5_不銹鋼螺栓" localSheetId="4">#REF!</definedName>
    <definedName name="_2.5_不銹鋼螺栓" localSheetId="3">#REF!</definedName>
    <definedName name="_2.5_不銹鋼螺栓">#REF!</definedName>
    <definedName name="_2_PVC水管" localSheetId="4">#REF!</definedName>
    <definedName name="_2_PVC水管" localSheetId="3">#REF!</definedName>
    <definedName name="_2_PVC水管">#REF!</definedName>
    <definedName name="_2_φPVC排水管" localSheetId="4">#REF!</definedName>
    <definedName name="_2_φPVC排水管" localSheetId="3">#REF!</definedName>
    <definedName name="_2_φPVC排水管">#REF!</definedName>
    <definedName name="_2_φ石子物料" localSheetId="4">#REF!</definedName>
    <definedName name="_2_φ石子物料" localSheetId="3">#REF!</definedName>
    <definedName name="_2_φ石子物料">#REF!</definedName>
    <definedName name="_2_φ卵石物料" localSheetId="4">#REF!</definedName>
    <definedName name="_2_φ卵石物料" localSheetId="3">#REF!</definedName>
    <definedName name="_2_φ卵石物料">#REF!</definedName>
    <definedName name="_20×7.5×2×0.4cmC型鋼" localSheetId="4">#REF!</definedName>
    <definedName name="_20×7.5×2×0.4cmC型鋼" localSheetId="3">#REF!</definedName>
    <definedName name="_20×7.5×2×0.4cmC型鋼">#REF!</definedName>
    <definedName name="_2000psi混凝土物料" localSheetId="4">#REF!</definedName>
    <definedName name="_2000psi混凝土物料" localSheetId="3">#REF!</definedName>
    <definedName name="_2000psi混凝土物料">#REF!</definedName>
    <definedName name="_20cm窗簾盒" localSheetId="4">#REF!</definedName>
    <definedName name="_20cm窗簾盒" localSheetId="3">#REF!</definedName>
    <definedName name="_20cm窗簾盒">#REF!</definedName>
    <definedName name="_22m高挑高排架" localSheetId="4">#REF!</definedName>
    <definedName name="_22m高挑高排架" localSheetId="3">#REF!</definedName>
    <definedName name="_22m高挑高排架">#REF!</definedName>
    <definedName name="_245KG_CM2混凝土" localSheetId="4">#REF!</definedName>
    <definedName name="_245KG_CM2混凝土" localSheetId="3">#REF!</definedName>
    <definedName name="_245KG_CM2混凝土">#REF!</definedName>
    <definedName name="_2500psi混凝土物料" localSheetId="4">#REF!</definedName>
    <definedName name="_2500psi混凝土物料" localSheetId="3">#REF!</definedName>
    <definedName name="_2500psi混凝土物料">#REF!</definedName>
    <definedName name="_280KG_CM2混凝土" localSheetId="4">#REF!</definedName>
    <definedName name="_280KG_CM2混凝土" localSheetId="3">#REF!</definedName>
    <definedName name="_280KG_CM2混凝土">#REF!</definedName>
    <definedName name="_2kg_㎡單液水性彈性防水膠" localSheetId="4">#REF!</definedName>
    <definedName name="_2kg_㎡單液水性彈性防水膠" localSheetId="3">#REF!</definedName>
    <definedName name="_2kg_㎡單液水性彈性防水膠">#REF!</definedName>
    <definedName name="_2mmPS保護板" localSheetId="4">#REF!</definedName>
    <definedName name="_2mmPS保護板" localSheetId="3">#REF!</definedName>
    <definedName name="_2mmPS保護板">#REF!</definedName>
    <definedName name="_2mm防水處理__連工帶料" localSheetId="4">#REF!</definedName>
    <definedName name="_2mm防水處理__連工帶料" localSheetId="3">#REF!</definedName>
    <definedName name="_2mm防水處理__連工帶料">#REF!</definedName>
    <definedName name="_2mm防水處理噴塗__連工帶料" localSheetId="4">#REF!</definedName>
    <definedName name="_2mm防水處理噴塗__連工帶料" localSheetId="3">#REF!</definedName>
    <definedName name="_2mm防水處理噴塗__連工帶料">#REF!</definedName>
    <definedName name="_2S1_">#REF!</definedName>
    <definedName name="_2S2_">#REF!</definedName>
    <definedName name="_3.8×14cm地板" localSheetId="4">#REF!</definedName>
    <definedName name="_3.8×14cm地板" localSheetId="3">#REF!</definedName>
    <definedName name="_3.8×14cm地板">#REF!</definedName>
    <definedName name="_3.8×8.9cm地板樑" localSheetId="4">#REF!</definedName>
    <definedName name="_3.8×8.9cm地板樑" localSheetId="3">#REF!</definedName>
    <definedName name="_3.8×8.9cm地板樑">#REF!</definedName>
    <definedName name="_3000psi混凝土物料" localSheetId="4">#REF!</definedName>
    <definedName name="_3000psi混凝土物料" localSheetId="3">#REF!</definedName>
    <definedName name="_3000psi混凝土物料">#REF!</definedName>
    <definedName name="_300玻璃纖維" localSheetId="4">#REF!</definedName>
    <definedName name="_300玻璃纖維" localSheetId="3">#REF!</definedName>
    <definedName name="_300玻璃纖維">#REF!</definedName>
    <definedName name="_30cm_60cm_仿石材磨光石英磚">[6]工料單價!$B$7</definedName>
    <definedName name="_30Mu陶瓷釉烤漆玻璃8mm" localSheetId="4">#REF!</definedName>
    <definedName name="_30Mu陶瓷釉烤漆玻璃8mm" localSheetId="3">#REF!</definedName>
    <definedName name="_30Mu陶瓷釉烤漆玻璃8mm">#REF!</definedName>
    <definedName name="_3500psi混凝土物料">[7]工料單價!$B$33</definedName>
    <definedName name="_3mm厚不織布" localSheetId="4">#REF!</definedName>
    <definedName name="_3mm厚不織布" localSheetId="3">#REF!</definedName>
    <definedName name="_3mm厚不織布">#REF!</definedName>
    <definedName name="_3S2_" localSheetId="3">#REF!</definedName>
    <definedName name="_3S2_">#REF!</definedName>
    <definedName name="_3S3_">#REF!</definedName>
    <definedName name="_4.5_9.5無釉透心山型磚">[6]工料單價!$B$6</definedName>
    <definedName name="_4_PVC水管" localSheetId="4">#REF!</definedName>
    <definedName name="_4_PVC水管" localSheetId="3">#REF!</definedName>
    <definedName name="_4_PVC水管">#REF!</definedName>
    <definedName name="_4_不銹鋼螺栓" localSheetId="4">#REF!</definedName>
    <definedName name="_4_不銹鋼螺栓" localSheetId="3">#REF!</definedName>
    <definedName name="_4_不銹鋼螺栓">#REF!</definedName>
    <definedName name="_4000psi混凝土物料" localSheetId="4">#REF!</definedName>
    <definedName name="_4000psi混凝土物料" localSheetId="3">#REF!</definedName>
    <definedName name="_4000psi混凝土物料">#REF!</definedName>
    <definedName name="_40mu氟碳烤漆繫件" localSheetId="4">#REF!</definedName>
    <definedName name="_40mu氟碳烤漆繫件" localSheetId="3">#REF!</definedName>
    <definedName name="_40mu氟碳烤漆繫件">#REF!</definedName>
    <definedName name="_420KG_CM2混凝土" localSheetId="4">#REF!</definedName>
    <definedName name="_420KG_CM2混凝土" localSheetId="3">#REF!</definedName>
    <definedName name="_420KG_CM2混凝土">#REF!</definedName>
    <definedName name="_45_45方塊地毯_連工帶料">[5]工料單價!$J$50</definedName>
    <definedName name="_4L200×90×15_" localSheetId="4">#REF!</definedName>
    <definedName name="_4L200×90×15_" localSheetId="3">#REF!</definedName>
    <definedName name="_4L200×90×15_">#REF!</definedName>
    <definedName name="_4S3_" localSheetId="4">#REF!</definedName>
    <definedName name="_4S3_" localSheetId="3">#REF!</definedName>
    <definedName name="_4S3_">#REF!</definedName>
    <definedName name="_4分夾板4__8" localSheetId="4">#REF!</definedName>
    <definedName name="_4分夾板4__8" localSheetId="3">#REF!</definedName>
    <definedName name="_4分夾板4__8">#REF!</definedName>
    <definedName name="_4石英砂3kg" localSheetId="4">#REF!</definedName>
    <definedName name="_4石英砂3kg" localSheetId="3">#REF!</definedName>
    <definedName name="_4石英砂3kg">#REF!</definedName>
    <definedName name="_5000psi混凝土物料">[6]工料單價!$B$41</definedName>
    <definedName name="_5cm厚排水板" localSheetId="4">#REF!</definedName>
    <definedName name="_5cm厚排水板" localSheetId="3">#REF!</definedName>
    <definedName name="_5cm厚排水板">#REF!</definedName>
    <definedName name="_6.8mm厚鋼絲玻璃" localSheetId="4">#REF!</definedName>
    <definedName name="_6.8mm厚鋼絲玻璃" localSheetId="3">#REF!</definedName>
    <definedName name="_6.8mm厚鋼絲玻璃">#REF!</definedName>
    <definedName name="_6_HDPE高抗壓有孔管" localSheetId="4">#REF!</definedName>
    <definedName name="_6_HDPE高抗壓有孔管" localSheetId="3">#REF!</definedName>
    <definedName name="_6_HDPE高抗壓有孔管">#REF!</definedName>
    <definedName name="_6_HDPE高抗壓無孔管" localSheetId="4">#REF!</definedName>
    <definedName name="_6_HDPE高抗壓無孔管" localSheetId="3">#REF!</definedName>
    <definedName name="_6_HDPE高抗壓無孔管">#REF!</definedName>
    <definedName name="_60×60×60cm場鑄陰井" localSheetId="4">#REF!</definedName>
    <definedName name="_60×60×60cm場鑄陰井" localSheetId="3">#REF!</definedName>
    <definedName name="_60×60×60cm場鑄陰井">#REF!</definedName>
    <definedName name="_60cm_60cm_仿石材磨光石英磚">[6]工料單價!$B$8</definedName>
    <definedName name="_60cm窗簾盒" localSheetId="4">#REF!</definedName>
    <definedName name="_60cm窗簾盒" localSheetId="3">#REF!</definedName>
    <definedName name="_60cm窗簾盒">#REF!</definedName>
    <definedName name="_6mm後強化透明玻璃" localSheetId="4">#REF!</definedName>
    <definedName name="_6mm後強化透明玻璃" localSheetId="3">#REF!</definedName>
    <definedName name="_6mm後強化透明玻璃">#REF!</definedName>
    <definedName name="_6號續接器安裝工資" localSheetId="4">#REF!</definedName>
    <definedName name="_6號續接器安裝工資" localSheetId="3">#REF!</definedName>
    <definedName name="_6號續接器安裝工資">#REF!</definedName>
    <definedName name="_6號續接器物料" localSheetId="4">#REF!</definedName>
    <definedName name="_6號續接器物料" localSheetId="3">#REF!</definedName>
    <definedName name="_6號續接器物料">#REF!</definedName>
    <definedName name="_7.5×4.5×1.5×0.23cmC型鋼" localSheetId="4">#REF!</definedName>
    <definedName name="_7.5×4.5×1.5×0.23cmC型鋼" localSheetId="3">#REF!</definedName>
    <definedName name="_7.5×4.5×1.5×0.23cmC型鋼">#REF!</definedName>
    <definedName name="_7.5cm預鑄輕質牆" localSheetId="4">#REF!</definedName>
    <definedName name="_7.5cm預鑄輕質牆" localSheetId="3">#REF!</definedName>
    <definedName name="_7.5cm預鑄輕質牆">#REF!</definedName>
    <definedName name="_7號續接器安裝工資" localSheetId="4">#REF!</definedName>
    <definedName name="_7號續接器安裝工資" localSheetId="3">#REF!</definedName>
    <definedName name="_7號續接器安裝工資">#REF!</definedName>
    <definedName name="_7號續接器物料" localSheetId="4">#REF!</definedName>
    <definedName name="_7號續接器物料" localSheetId="3">#REF!</definedName>
    <definedName name="_7號續接器物料">#REF!</definedName>
    <definedName name="_8.9×8.9cm支撐柱" localSheetId="4">#REF!</definedName>
    <definedName name="_8.9×8.9cm支撐柱" localSheetId="3">#REF!</definedName>
    <definedName name="_8.9×8.9cm支撐柱">#REF!</definedName>
    <definedName name="_8L90×90×13_">#REF!</definedName>
    <definedName name="_8mm後強化透明玻璃" localSheetId="4">#REF!</definedName>
    <definedName name="_8mm後強化透明玻璃" localSheetId="3">#REF!</definedName>
    <definedName name="_8mm後強化透明玻璃">#REF!</definedName>
    <definedName name="_8m高挑高排架" localSheetId="4">#REF!</definedName>
    <definedName name="_8m高挑高排架" localSheetId="3">#REF!</definedName>
    <definedName name="_8m高挑高排架">#REF!</definedName>
    <definedName name="_8號續接器安裝工資" localSheetId="4">#REF!</definedName>
    <definedName name="_8號續接器安裝工資" localSheetId="3">#REF!</definedName>
    <definedName name="_8號續接器安裝工資">#REF!</definedName>
    <definedName name="_8號續接器物料" localSheetId="4">#REF!</definedName>
    <definedName name="_8號續接器物料" localSheetId="3">#REF!</definedName>
    <definedName name="_8號續接器物料">#REF!</definedName>
    <definedName name="_AAA5">[8]AAA5!$B$1:$E$80</definedName>
    <definedName name="_D1" localSheetId="4">'[9]鋁門窗&amp;其他'!#REF!</definedName>
    <definedName name="_D1" localSheetId="3">'[9]鋁門窗&amp;其他'!#REF!</definedName>
    <definedName name="_D1">'[9]鋁門窗&amp;其他'!#REF!</definedName>
    <definedName name="_D4" localSheetId="4">#REF!</definedName>
    <definedName name="_D4" localSheetId="3">#REF!</definedName>
    <definedName name="_D4">#REF!</definedName>
    <definedName name="_D8" localSheetId="4">#REF!</definedName>
    <definedName name="_D8" localSheetId="3">#REF!</definedName>
    <definedName name="_D8">#REF!</definedName>
    <definedName name="_Fill" localSheetId="4" hidden="1">'[10]MonthB(1-4)'!#REF!</definedName>
    <definedName name="_Fill" localSheetId="3" hidden="1">'[10]MonthB(1-4)'!#REF!</definedName>
    <definedName name="_Fill" hidden="1">'[10]MonthB(1-4)'!#REF!</definedName>
    <definedName name="_xlnm._FilterDatabase" localSheetId="0" hidden="1">計畫書!$A$4:$AN$66</definedName>
    <definedName name="_xlnm._FilterDatabase" localSheetId="1" hidden="1">計算書!$A$4:$AN$10</definedName>
    <definedName name="_xlnm._FilterDatabase" localSheetId="2" hidden="1">廠商檢測性報告!$A$4:$AN$8</definedName>
    <definedName name="_k1" localSheetId="4">[11]單價2!#REF!</definedName>
    <definedName name="_k1" localSheetId="3">[11]單價2!#REF!</definedName>
    <definedName name="_k1">[11]單價2!#REF!</definedName>
    <definedName name="_L200×90×15" localSheetId="4">#REF!</definedName>
    <definedName name="_L200×90×15" localSheetId="3">#REF!</definedName>
    <definedName name="_L200×90×15">#REF!</definedName>
    <definedName name="_L90×90×13" localSheetId="4">#REF!</definedName>
    <definedName name="_L90×90×13" localSheetId="3">#REF!</definedName>
    <definedName name="_L90×90×13">#REF!</definedName>
    <definedName name="_S1" localSheetId="4">#REF!</definedName>
    <definedName name="_S1" localSheetId="3">#REF!</definedName>
    <definedName name="_S1">#REF!</definedName>
    <definedName name="_S2" localSheetId="4">#REF!</definedName>
    <definedName name="_S2" localSheetId="3">#REF!</definedName>
    <definedName name="_S2">#REF!</definedName>
    <definedName name="_S3" localSheetId="4">#REF!</definedName>
    <definedName name="_S3" localSheetId="3">#REF!</definedName>
    <definedName name="_S3">#REF!</definedName>
    <definedName name="_SD280">[4]鋼筋材料!$M$9</definedName>
    <definedName name="_SD420">[4]鋼筋材料!$M$10</definedName>
    <definedName name="_SD42011">[4]鋼筋材料!$M$12</definedName>
    <definedName name="_SD4209">[4]鋼筋材料!$M$11</definedName>
    <definedName name="_SO4" localSheetId="4">[5]假設貼貼!#REF!</definedName>
    <definedName name="_SO4" localSheetId="3">[5]假設貼貼!#REF!</definedName>
    <definedName name="_SO4">[5]假設貼貼!#REF!</definedName>
    <definedName name="_SS2" localSheetId="4">#REF!</definedName>
    <definedName name="_SS2" localSheetId="3">#REF!</definedName>
    <definedName name="_SS2">#REF!</definedName>
    <definedName name="_TE1" localSheetId="4">#REF!</definedName>
    <definedName name="_TE1" localSheetId="3">#REF!</definedName>
    <definedName name="_TE1">#REF!</definedName>
    <definedName name="_TE2" localSheetId="4">#REF!</definedName>
    <definedName name="_TE2" localSheetId="3">#REF!</definedName>
    <definedName name="_TE2">#REF!</definedName>
    <definedName name="_TE3" localSheetId="4">#REF!</definedName>
    <definedName name="_TE3" localSheetId="3">#REF!</definedName>
    <definedName name="_TE3">#REF!</definedName>
    <definedName name="_TE4" localSheetId="4">#REF!</definedName>
    <definedName name="_TE4" localSheetId="3">#REF!</definedName>
    <definedName name="_TE4">#REF!</definedName>
    <definedName name="_TE5" localSheetId="4">#REF!</definedName>
    <definedName name="_TE5" localSheetId="3">#REF!</definedName>
    <definedName name="_TE5">#REF!</definedName>
    <definedName name="A36鋼骨材料" localSheetId="4">#REF!</definedName>
    <definedName name="A36鋼骨材料" localSheetId="3">#REF!</definedName>
    <definedName name="A36鋼骨材料">#REF!</definedName>
    <definedName name="A572鋼骨材料" localSheetId="4">#REF!</definedName>
    <definedName name="A572鋼骨材料" localSheetId="3">#REF!</definedName>
    <definedName name="A572鋼骨材料">#REF!</definedName>
    <definedName name="AA" localSheetId="4">[12]薪資DEMO!$I$6:$Q$19,[12]薪資DEMO!$I$22:$Q$36,[12]薪資DEMO!$I$39:$Q$53,[12]薪資DEMO!$I$56:$Q$70,[12]薪資DEMO!$I$73:$Q$87,[12]薪資DEMO!$I$90:$Q$104,[12]薪資DEMO!$I$107:$Q$121,[12]薪資DEMO!$I$124:$Q$138,[12]薪資DEMO!$I$141:$Q$155,[12]薪資DEMO!$I$158:$Q$172,[12]薪資DEMO!$I$175:$Q$189,[12]薪資DEMO!#REF!</definedName>
    <definedName name="AA" localSheetId="3">[12]薪資DEMO!$I$6:$Q$19,[12]薪資DEMO!$I$22:$Q$36,[12]薪資DEMO!$I$39:$Q$53,[12]薪資DEMO!$I$56:$Q$70,[12]薪資DEMO!$I$73:$Q$87,[12]薪資DEMO!$I$90:$Q$104,[12]薪資DEMO!$I$107:$Q$121,[12]薪資DEMO!$I$124:$Q$138,[12]薪資DEMO!$I$141:$Q$155,[12]薪資DEMO!$I$158:$Q$172,[12]薪資DEMO!$I$175:$Q$189,[12]薪資DEMO!#REF!</definedName>
    <definedName name="AA">[12]薪資DEMO!$I$6:$Q$19,[12]薪資DEMO!$I$22:$Q$36,[12]薪資DEMO!$I$39:$Q$53,[12]薪資DEMO!$I$56:$Q$70,[12]薪資DEMO!$I$73:$Q$87,[12]薪資DEMO!$I$90:$Q$104,[12]薪資DEMO!$I$107:$Q$121,[12]薪資DEMO!$I$124:$Q$138,[12]薪資DEMO!$I$141:$Q$155,[12]薪資DEMO!$I$158:$Q$172,[12]薪資DEMO!$I$175:$Q$189,[12]薪資DEMO!#REF!</definedName>
    <definedName name="aaa" localSheetId="4">[13]健保DEMO!$B$6:$J$19,[13]健保DEMO!$B$22:$J$36,[13]健保DEMO!$B$39:$J$53,[13]健保DEMO!$B$56:$J$70,[13]健保DEMO!$B$73:$J$87,[13]健保DEMO!$B$90:$J$104,[13]健保DEMO!$B$107:$J$121,[13]健保DEMO!$B$124:$J$138,[13]健保DEMO!$B$141:$J$155,[13]健保DEMO!#REF!,[13]健保DEMO!#REF!,[13]健保DEMO!#REF!</definedName>
    <definedName name="aaa" localSheetId="3">[13]健保DEMO!$B$6:$J$19,[13]健保DEMO!$B$22:$J$36,[13]健保DEMO!$B$39:$J$53,[13]健保DEMO!$B$56:$J$70,[13]健保DEMO!$B$73:$J$87,[13]健保DEMO!$B$90:$J$104,[13]健保DEMO!$B$107:$J$121,[13]健保DEMO!$B$124:$J$138,[13]健保DEMO!$B$141:$J$155,[13]健保DEMO!#REF!,[13]健保DEMO!#REF!,[13]健保DEMO!#REF!</definedName>
    <definedName name="aaa">[13]健保DEMO!$B$6:$J$19,[13]健保DEMO!$B$22:$J$36,[13]健保DEMO!$B$39:$J$53,[13]健保DEMO!$B$56:$J$70,[13]健保DEMO!$B$73:$J$87,[13]健保DEMO!$B$90:$J$104,[13]健保DEMO!$B$107:$J$121,[13]健保DEMO!$B$124:$J$138,[13]健保DEMO!$B$141:$J$155,[13]健保DEMO!#REF!,[13]健保DEMO!#REF!,[13]健保DEMO!#REF!</definedName>
    <definedName name="AAAAAAAA" localSheetId="4">#REF!</definedName>
    <definedName name="AAAAAAAA" localSheetId="3">#REF!</definedName>
    <definedName name="AAAAAAAA">#REF!</definedName>
    <definedName name="AccessDatabase" hidden="1">"C:\歡迎光臨\勞工安全衛生組織管理及自動檢查辦法\安全衛生資料庫.mdb"</definedName>
    <definedName name="AKEY">[14]數量!$D$5:$AN$406</definedName>
    <definedName name="AP_245_25_17G1" localSheetId="4">[15]輸入!#REF!</definedName>
    <definedName name="AP_245_25_17G1" localSheetId="3">[15]輸入!#REF!</definedName>
    <definedName name="AP_245_25_17G1">[15]輸入!#REF!</definedName>
    <definedName name="A式殘障扶手" localSheetId="4">#REF!</definedName>
    <definedName name="A式殘障扶手" localSheetId="3">#REF!</definedName>
    <definedName name="A式殘障扶手">#REF!</definedName>
    <definedName name="BGL">[16]梁輸入!$G$2</definedName>
    <definedName name="BGT">[16]梁輸入!$G$5</definedName>
    <definedName name="BL" localSheetId="4">#REF!</definedName>
    <definedName name="BL" localSheetId="3">#REF!</definedName>
    <definedName name="BL">#REF!</definedName>
    <definedName name="BLR" localSheetId="4">#REF!</definedName>
    <definedName name="BLR" localSheetId="3">#REF!</definedName>
    <definedName name="BLR">#REF!</definedName>
    <definedName name="BLT" localSheetId="4">#REF!</definedName>
    <definedName name="BLT" localSheetId="3">#REF!</definedName>
    <definedName name="BLT">#REF!</definedName>
    <definedName name="BODY_AREA" localSheetId="4">[17]健保DEMO!$B$6:$J$19,[17]健保DEMO!$B$22:$J$36,[17]健保DEMO!$B$39:$J$53,[17]健保DEMO!$B$56:$J$70,[17]健保DEMO!$B$73:$J$87,[17]健保DEMO!$B$90:$J$104,[17]健保DEMO!$B$107:$J$121,[17]健保DEMO!$B$124:$J$138,[17]健保DEMO!$B$141:$J$155,[17]健保DEMO!$B$158:$J$172,[17]健保DEMO!#REF!,[17]健保DEMO!#REF!</definedName>
    <definedName name="BODY_AREA" localSheetId="3">[17]健保DEMO!$B$6:$J$19,[17]健保DEMO!$B$22:$J$36,[17]健保DEMO!$B$39:$J$53,[17]健保DEMO!$B$56:$J$70,[17]健保DEMO!$B$73:$J$87,[17]健保DEMO!$B$90:$J$104,[17]健保DEMO!$B$107:$J$121,[17]健保DEMO!$B$124:$J$138,[17]健保DEMO!$B$141:$J$155,[17]健保DEMO!$B$158:$J$172,[17]健保DEMO!#REF!,[17]健保DEMO!#REF!</definedName>
    <definedName name="BODY_AREA">[17]健保DEMO!$B$6:$J$19,[17]健保DEMO!$B$22:$J$36,[17]健保DEMO!$B$39:$J$53,[17]健保DEMO!$B$56:$J$70,[17]健保DEMO!$B$73:$J$87,[17]健保DEMO!$B$90:$J$104,[17]健保DEMO!$B$107:$J$121,[17]健保DEMO!$B$124:$J$138,[17]健保DEMO!$B$141:$J$155,[17]健保DEMO!$B$158:$J$172,[17]健保DEMO!#REF!,[17]健保DEMO!#REF!</definedName>
    <definedName name="Button_1">"安全衛生資料庫_Sheet1_List"</definedName>
    <definedName name="B式殘障扶手" localSheetId="4">#REF!</definedName>
    <definedName name="B式殘障扶手" localSheetId="3">#REF!</definedName>
    <definedName name="B式殘障扶手">#REF!</definedName>
    <definedName name="B樓梯硬木扶手" localSheetId="4">#REF!</definedName>
    <definedName name="B樓梯硬木扶手" localSheetId="3">#REF!</definedName>
    <definedName name="B樓梯硬木扶手">#REF!</definedName>
    <definedName name="C_75×45×15×2.3mm" localSheetId="4">#REF!</definedName>
    <definedName name="C_75×45×15×2.3mm" localSheetId="3">#REF!</definedName>
    <definedName name="C_75×45×15×2.3mm">#REF!</definedName>
    <definedName name="cco" localSheetId="4" hidden="1">{"'週報'!$A$1:$U$33"}</definedName>
    <definedName name="cco" localSheetId="3" hidden="1">{"'週報'!$A$1:$U$33"}</definedName>
    <definedName name="cco" hidden="1">{"'週報'!$A$1:$U$33"}</definedName>
    <definedName name="D" localSheetId="4">#REF!</definedName>
    <definedName name="D" localSheetId="3">#REF!</definedName>
    <definedName name="D">#REF!</definedName>
    <definedName name="D_5mm熔接鋼絲網_間距20cm" localSheetId="4">#REF!</definedName>
    <definedName name="D_5mm熔接鋼絲網_間距20cm" localSheetId="3">#REF!</definedName>
    <definedName name="D_5mm熔接鋼絲網_間距20cm">#REF!</definedName>
    <definedName name="DATA3">[18]篩選!$A$1951:$G$2372</definedName>
    <definedName name="_xlnm.Database" localSheetId="4">#REF!</definedName>
    <definedName name="_xlnm.Database" localSheetId="3">#REF!</definedName>
    <definedName name="_xlnm.Database">[19]分項分月金額!#REF!</definedName>
    <definedName name="DATE">[20]基本資料輸入!$O$3</definedName>
    <definedName name="DAY">[18]日報表!$M$1</definedName>
    <definedName name="dddd">[21]Sheet3!$A$7:$E$43</definedName>
    <definedName name="ddt" localSheetId="4" hidden="1">{"'週報'!$A$1:$U$33"}</definedName>
    <definedName name="ddt" localSheetId="3" hidden="1">{"'週報'!$A$1:$U$33"}</definedName>
    <definedName name="ddt" hidden="1">{"'週報'!$A$1:$U$33"}</definedName>
    <definedName name="DE" localSheetId="4">#REF!</definedName>
    <definedName name="DE" localSheetId="3">#REF!</definedName>
    <definedName name="DE">#REF!</definedName>
    <definedName name="DECKW3_1.2物料" localSheetId="4">#REF!</definedName>
    <definedName name="DECKW3_1.2物料" localSheetId="3">#REF!</definedName>
    <definedName name="DECKW3_1.2物料">#REF!</definedName>
    <definedName name="DI" localSheetId="4">#REF!</definedName>
    <definedName name="DI" localSheetId="3">#REF!</definedName>
    <definedName name="DI">#REF!</definedName>
    <definedName name="DW" localSheetId="4">#REF!</definedName>
    <definedName name="DW" localSheetId="3">#REF!</definedName>
    <definedName name="DW">#REF!</definedName>
    <definedName name="DWA" localSheetId="4">#REF!</definedName>
    <definedName name="DWA" localSheetId="3">#REF!</definedName>
    <definedName name="DWA">#REF!</definedName>
    <definedName name="DWB" localSheetId="4">#REF!</definedName>
    <definedName name="DWB" localSheetId="3">#REF!</definedName>
    <definedName name="DWB">#REF!</definedName>
    <definedName name="E" localSheetId="4">#REF!</definedName>
    <definedName name="E" localSheetId="3">#REF!</definedName>
    <definedName name="E">#REF!</definedName>
    <definedName name="ED_17格柵截水溝蓋" localSheetId="4">#REF!</definedName>
    <definedName name="ED_17格柵截水溝蓋" localSheetId="3">#REF!</definedName>
    <definedName name="ED_17格柵截水溝蓋">#REF!</definedName>
    <definedName name="ED_18格柵截水溝蓋" localSheetId="4">#REF!</definedName>
    <definedName name="ED_18格柵截水溝蓋" localSheetId="3">#REF!</definedName>
    <definedName name="ED_18格柵截水溝蓋">#REF!</definedName>
    <definedName name="ED_19格柵截水溝蓋" localSheetId="4">#REF!</definedName>
    <definedName name="ED_19格柵截水溝蓋" localSheetId="3">#REF!</definedName>
    <definedName name="ED_19格柵截水溝蓋">#REF!</definedName>
    <definedName name="EGSL">[16]梁輸入!$G$9</definedName>
    <definedName name="F" localSheetId="4">#REF!</definedName>
    <definedName name="F" localSheetId="3">#REF!</definedName>
    <definedName name="F">#REF!</definedName>
    <definedName name="fe" localSheetId="3">#REF!</definedName>
    <definedName name="fe">#REF!</definedName>
    <definedName name="ff" localSheetId="4">[1]A!#REF!</definedName>
    <definedName name="ff" localSheetId="3">[1]A!#REF!</definedName>
    <definedName name="ff">[1]A!#REF!</definedName>
    <definedName name="FM" localSheetId="4">[2]單價2!#REF!</definedName>
    <definedName name="FM" localSheetId="3">[2]單價2!#REF!</definedName>
    <definedName name="FM">[3]單價2!#REF!</definedName>
    <definedName name="FP" localSheetId="4">#REF!</definedName>
    <definedName name="FP" localSheetId="3">#REF!</definedName>
    <definedName name="FP">#REF!</definedName>
    <definedName name="FY2800kg_cm2鋼筋物料">[22]工料單價!$B$36</definedName>
    <definedName name="FY4200kg_cm2鋼筋物料">[22]工料單價!$B$35</definedName>
    <definedName name="G1地下廣場步道欄杆" localSheetId="4">#REF!</definedName>
    <definedName name="G1地下廣場步道欄杆" localSheetId="3">#REF!</definedName>
    <definedName name="G1地下廣場步道欄杆">#REF!</definedName>
    <definedName name="G1地下廣場樓梯欄杆" localSheetId="4">#REF!</definedName>
    <definedName name="G1地下廣場樓梯欄杆" localSheetId="3">#REF!</definedName>
    <definedName name="G1地下廣場樓梯欄杆">#REF!</definedName>
    <definedName name="G2地下廣場樓梯欄杆" localSheetId="4">#REF!</definedName>
    <definedName name="G2地下廣場樓梯欄杆" localSheetId="3">#REF!</definedName>
    <definedName name="G2地下廣場樓梯欄杆">#REF!</definedName>
    <definedName name="gg">[8]AAA5!$W$2:$Z$98</definedName>
    <definedName name="H" localSheetId="4">#REF!</definedName>
    <definedName name="H" localSheetId="3">#REF!</definedName>
    <definedName name="H">#REF!</definedName>
    <definedName name="H1_" localSheetId="4">[2]單價2!#REF!</definedName>
    <definedName name="H1_" localSheetId="3">[2]單價2!#REF!</definedName>
    <definedName name="H1_">[3]單價2!#REF!</definedName>
    <definedName name="H1H" localSheetId="4">#REF!</definedName>
    <definedName name="H1H" localSheetId="3">#REF!</definedName>
    <definedName name="H1H">#REF!</definedName>
    <definedName name="H2_" localSheetId="4">[2]單價2!#REF!</definedName>
    <definedName name="H2_" localSheetId="3">[2]單價2!#REF!</definedName>
    <definedName name="H2_">[3]單價2!#REF!</definedName>
    <definedName name="H2H" localSheetId="4">#REF!</definedName>
    <definedName name="H2H" localSheetId="3">#REF!</definedName>
    <definedName name="H2H">#REF!</definedName>
    <definedName name="H3_" localSheetId="4">[2]單價2!#REF!</definedName>
    <definedName name="H3_" localSheetId="3">[2]單價2!#REF!</definedName>
    <definedName name="H3_">[3]單價2!#REF!</definedName>
    <definedName name="H3H" localSheetId="4">#REF!</definedName>
    <definedName name="H3H" localSheetId="3">#REF!</definedName>
    <definedName name="H3H">#REF!</definedName>
    <definedName name="H4H" localSheetId="4">#REF!</definedName>
    <definedName name="H4H" localSheetId="3">#REF!</definedName>
    <definedName name="H4H">#REF!</definedName>
    <definedName name="HH" localSheetId="4">#REF!</definedName>
    <definedName name="HH" localSheetId="3">#REF!</definedName>
    <definedName name="HH">#REF!</definedName>
    <definedName name="HTML_CodePage" hidden="1">950</definedName>
    <definedName name="HTML_Control" localSheetId="4" hidden="1">{"'週報'!$A$1:$U$33"}</definedName>
    <definedName name="HTML_Control" localSheetId="3" hidden="1">{"'週報'!$A$1:$U$33"}</definedName>
    <definedName name="HTML_Control" hidden="1">{"'週報'!$A$1:$U$33"}</definedName>
    <definedName name="HTML_Description" hidden="1">""</definedName>
    <definedName name="HTML_Email" hidden="1">""</definedName>
    <definedName name="HTML_Header" hidden="1">"各項達成率"</definedName>
    <definedName name="HTML_LastUpdate" hidden="1">"1999/9/16"</definedName>
    <definedName name="HTML_LineAfter" hidden="1">FALSE</definedName>
    <definedName name="HTML_LineBefore" hidden="1">FALSE</definedName>
    <definedName name="HTML_Name" hidden="1">"g"</definedName>
    <definedName name="HTML_OBDlg2" hidden="1">TRUE</definedName>
    <definedName name="HTML_OBDlg4" hidden="1">TRUE</definedName>
    <definedName name="HTML_OS" hidden="1">0</definedName>
    <definedName name="HTML_PathFile" hidden="1">"C:\GS工程應用系統\營建管理\週報\週報.htm"</definedName>
    <definedName name="HTML_Title" hidden="1">"週報880614"</definedName>
    <definedName name="H型鋼250_250租金_含運費_打拔" localSheetId="4">#REF!</definedName>
    <definedName name="H型鋼250_250租金_含運費_打拔" localSheetId="3">#REF!</definedName>
    <definedName name="H型鋼250_250租金_含運費_打拔">#REF!</definedName>
    <definedName name="H型鋼350_350_12_19___L_33m租金" localSheetId="4">#REF!</definedName>
    <definedName name="H型鋼350_350_12_19___L_33m租金" localSheetId="3">#REF!</definedName>
    <definedName name="H型鋼350_350_12_19___L_33m租金">#REF!</definedName>
    <definedName name="key">#REF!</definedName>
    <definedName name="L" localSheetId="4">#REF!</definedName>
    <definedName name="L" localSheetId="3">#REF!</definedName>
    <definedName name="L">#REF!</definedName>
    <definedName name="L1L" localSheetId="4">#REF!</definedName>
    <definedName name="L1L" localSheetId="3">#REF!</definedName>
    <definedName name="L1L">#REF!</definedName>
    <definedName name="L200×90×15mm" localSheetId="4">#REF!</definedName>
    <definedName name="L200×90×15mm" localSheetId="3">#REF!</definedName>
    <definedName name="L200×90×15mm">#REF!</definedName>
    <definedName name="L2L" localSheetId="4">#REF!</definedName>
    <definedName name="L2L" localSheetId="3">#REF!</definedName>
    <definedName name="L2L">#REF!</definedName>
    <definedName name="L3L" localSheetId="4">#REF!</definedName>
    <definedName name="L3L" localSheetId="3">#REF!</definedName>
    <definedName name="L3L">#REF!</definedName>
    <definedName name="L4L" localSheetId="4">#REF!</definedName>
    <definedName name="L4L" localSheetId="3">#REF!</definedName>
    <definedName name="L4L">#REF!</definedName>
    <definedName name="L50×50×6mm" localSheetId="4">#REF!</definedName>
    <definedName name="L50×50×6mm" localSheetId="3">#REF!</definedName>
    <definedName name="L50×50×6mm">#REF!</definedName>
    <definedName name="leng" localSheetId="4">#REF!</definedName>
    <definedName name="leng" localSheetId="3">#REF!</definedName>
    <definedName name="leng">#REF!</definedName>
    <definedName name="leng2" localSheetId="4">#REF!</definedName>
    <definedName name="leng2" localSheetId="3">#REF!</definedName>
    <definedName name="leng2">#REF!</definedName>
    <definedName name="leng3" localSheetId="4">#REF!</definedName>
    <definedName name="leng3" localSheetId="3">#REF!</definedName>
    <definedName name="leng3">#REF!</definedName>
    <definedName name="leng4" localSheetId="4">#REF!</definedName>
    <definedName name="leng4" localSheetId="3">#REF!</definedName>
    <definedName name="leng4">#REF!</definedName>
    <definedName name="leng6" localSheetId="4">#REF!</definedName>
    <definedName name="leng6" localSheetId="3">#REF!</definedName>
    <definedName name="leng6">#REF!</definedName>
    <definedName name="leng7" localSheetId="4">#REF!</definedName>
    <definedName name="leng7" localSheetId="3">#REF!</definedName>
    <definedName name="leng7">#REF!</definedName>
    <definedName name="LIST" localSheetId="4">#REF!</definedName>
    <definedName name="LIST" localSheetId="3">#REF!</definedName>
    <definedName name="LIST">#REF!</definedName>
    <definedName name="LL" localSheetId="4">#REF!</definedName>
    <definedName name="LL" localSheetId="3">#REF!</definedName>
    <definedName name="LL">#REF!</definedName>
    <definedName name="LONI" localSheetId="4">[17]健保DEMO!$B$6:$J$19,[17]健保DEMO!$B$22:$J$36,[17]健保DEMO!$B$39:$J$53,[17]健保DEMO!$B$56:$J$70,[17]健保DEMO!$B$73:$J$87,[17]健保DEMO!$B$90:$J$104,[17]健保DEMO!$B$107:$J$121,[17]健保DEMO!$B$124:$J$138,[17]健保DEMO!$B$141:$J$155,[17]健保DEMO!$B$158:$J$172,[17]健保DEMO!#REF!,[17]健保DEMO!#REF!</definedName>
    <definedName name="LONI" localSheetId="3">[17]健保DEMO!$B$6:$J$19,[17]健保DEMO!$B$22:$J$36,[17]健保DEMO!$B$39:$J$53,[17]健保DEMO!$B$56:$J$70,[17]健保DEMO!$B$73:$J$87,[17]健保DEMO!$B$90:$J$104,[17]健保DEMO!$B$107:$J$121,[17]健保DEMO!$B$124:$J$138,[17]健保DEMO!$B$141:$J$155,[17]健保DEMO!$B$158:$J$172,[17]健保DEMO!#REF!,[17]健保DEMO!#REF!</definedName>
    <definedName name="LONI">[17]健保DEMO!$B$6:$J$19,[17]健保DEMO!$B$22:$J$36,[17]健保DEMO!$B$39:$J$53,[17]健保DEMO!$B$56:$J$70,[17]健保DEMO!$B$73:$J$87,[17]健保DEMO!$B$90:$J$104,[17]健保DEMO!$B$107:$J$121,[17]健保DEMO!$B$124:$J$138,[17]健保DEMO!$B$141:$J$155,[17]健保DEMO!$B$158:$J$172,[17]健保DEMO!#REF!,[17]健保DEMO!#REF!</definedName>
    <definedName name="LOOP_START">#N/A</definedName>
    <definedName name="L型接頭" localSheetId="4">#REF!</definedName>
    <definedName name="L型接頭" localSheetId="3">#REF!</definedName>
    <definedName name="L型接頭">#REF!</definedName>
    <definedName name="mm" localSheetId="3">#REF!</definedName>
    <definedName name="mm">#REF!</definedName>
    <definedName name="MON_AREA1" localSheetId="4">[17]薪資DEMO!$A$3:$A$16,[17]薪資DEMO!$A$17:$A$32,[17]薪資DEMO!$A$33:$A$47,[17]薪資DEMO!$A$48:$A$63,[17]薪資DEMO!$A$64:$A$79,[17]薪資DEMO!$A$80:$A$94,[17]薪資DEMO!$A$95:$A$109,[17]薪資DEMO!$A$110:$A$124,[17]薪資DEMO!$A$125:$A$140,[17]薪資DEMO!$A$141:$A$154,[17]薪資DEMO!#REF!,[17]薪資DEMO!#REF!</definedName>
    <definedName name="MON_AREA1" localSheetId="3">[17]薪資DEMO!$A$3:$A$16,[17]薪資DEMO!$A$17:$A$32,[17]薪資DEMO!$A$33:$A$47,[17]薪資DEMO!$A$48:$A$63,[17]薪資DEMO!$A$64:$A$79,[17]薪資DEMO!$A$80:$A$94,[17]薪資DEMO!$A$95:$A$109,[17]薪資DEMO!$A$110:$A$124,[17]薪資DEMO!$A$125:$A$140,[17]薪資DEMO!$A$141:$A$154,[17]薪資DEMO!#REF!,[17]薪資DEMO!#REF!</definedName>
    <definedName name="MON_AREA1">[17]薪資DEMO!$A$3:$A$16,[17]薪資DEMO!$A$17:$A$32,[17]薪資DEMO!$A$33:$A$47,[17]薪資DEMO!$A$48:$A$63,[17]薪資DEMO!$A$64:$A$79,[17]薪資DEMO!$A$80:$A$94,[17]薪資DEMO!$A$95:$A$109,[17]薪資DEMO!$A$110:$A$124,[17]薪資DEMO!$A$125:$A$140,[17]薪資DEMO!$A$141:$A$154,[17]薪資DEMO!#REF!,[17]薪資DEMO!#REF!</definedName>
    <definedName name="MON_AREA2" localSheetId="4">[17]薪資DEMO!$F$3:$F$16,[17]薪資DEMO!$F$17:$F$32,[17]薪資DEMO!$F$33:$F$47,[17]薪資DEMO!$F$48:$F$63,[17]薪資DEMO!$F$64:$F$79,[17]薪資DEMO!$F$80:$F$94,[17]薪資DEMO!$F$95:$F$109,[17]薪資DEMO!$F$110:$F$124,[17]薪資DEMO!$F$125:$F$140,[17]薪資DEMO!$F$141:$F$154,[17]薪資DEMO!#REF!,[17]薪資DEMO!#REF!</definedName>
    <definedName name="MON_AREA2" localSheetId="3">[17]薪資DEMO!$F$3:$F$16,[17]薪資DEMO!$F$17:$F$32,[17]薪資DEMO!$F$33:$F$47,[17]薪資DEMO!$F$48:$F$63,[17]薪資DEMO!$F$64:$F$79,[17]薪資DEMO!$F$80:$F$94,[17]薪資DEMO!$F$95:$F$109,[17]薪資DEMO!$F$110:$F$124,[17]薪資DEMO!$F$125:$F$140,[17]薪資DEMO!$F$141:$F$154,[17]薪資DEMO!#REF!,[17]薪資DEMO!#REF!</definedName>
    <definedName name="MON_AREA2">[17]薪資DEMO!$F$3:$F$16,[17]薪資DEMO!$F$17:$F$32,[17]薪資DEMO!$F$33:$F$47,[17]薪資DEMO!$F$48:$F$63,[17]薪資DEMO!$F$64:$F$79,[17]薪資DEMO!$F$80:$F$94,[17]薪資DEMO!$F$95:$F$109,[17]薪資DEMO!$F$110:$F$124,[17]薪資DEMO!$F$125:$F$140,[17]薪資DEMO!$F$141:$F$154,[17]薪資DEMO!#REF!,[17]薪資DEMO!#REF!</definedName>
    <definedName name="NA" localSheetId="4">#REF!</definedName>
    <definedName name="NA" localSheetId="3">#REF!</definedName>
    <definedName name="NA">#REF!</definedName>
    <definedName name="NB" localSheetId="4">#REF!</definedName>
    <definedName name="NB" localSheetId="3">#REF!</definedName>
    <definedName name="NB">#REF!</definedName>
    <definedName name="NP" localSheetId="4">#REF!</definedName>
    <definedName name="NP" localSheetId="3">#REF!</definedName>
    <definedName name="NP">#REF!</definedName>
    <definedName name="NS" localSheetId="4">#REF!</definedName>
    <definedName name="NS" localSheetId="3">#REF!</definedName>
    <definedName name="NS">#REF!</definedName>
    <definedName name="NSL" localSheetId="4">#REF!</definedName>
    <definedName name="NSL" localSheetId="3">#REF!</definedName>
    <definedName name="NSL">#REF!</definedName>
    <definedName name="NSLI" localSheetId="4">#REF!</definedName>
    <definedName name="NSLI" localSheetId="3">#REF!</definedName>
    <definedName name="NSLI">#REF!</definedName>
    <definedName name="NSR" localSheetId="4">#REF!</definedName>
    <definedName name="NSR" localSheetId="3">#REF!</definedName>
    <definedName name="NSR">#REF!</definedName>
    <definedName name="NST" localSheetId="4">#REF!</definedName>
    <definedName name="NST" localSheetId="3">#REF!</definedName>
    <definedName name="NST">#REF!</definedName>
    <definedName name="oa" localSheetId="4">[11]單價2!#REF!</definedName>
    <definedName name="oa" localSheetId="3">[11]單價2!#REF!</definedName>
    <definedName name="oa">[11]單價2!#REF!</definedName>
    <definedName name="ONE_PAPER" localSheetId="4">#REF!</definedName>
    <definedName name="ONE_PAPER" localSheetId="3">#REF!</definedName>
    <definedName name="ONE_PAPER">#REF!</definedName>
    <definedName name="OP" localSheetId="4">[2]單價2!#REF!</definedName>
    <definedName name="OP" localSheetId="3">[2]單價2!#REF!</definedName>
    <definedName name="OP">[3]單價2!#REF!</definedName>
    <definedName name="PBG總價" localSheetId="4">#REF!</definedName>
    <definedName name="PBG總價" localSheetId="3">#REF!</definedName>
    <definedName name="PBG總價">#REF!</definedName>
    <definedName name="PC1H" localSheetId="4">#REF!</definedName>
    <definedName name="PC1H" localSheetId="3">#REF!</definedName>
    <definedName name="PC1H">#REF!</definedName>
    <definedName name="PC1L" localSheetId="4">#REF!</definedName>
    <definedName name="PC1L" localSheetId="3">#REF!</definedName>
    <definedName name="PC1L">#REF!</definedName>
    <definedName name="PC2H" localSheetId="4">#REF!</definedName>
    <definedName name="PC2H" localSheetId="3">#REF!</definedName>
    <definedName name="PC2H">#REF!</definedName>
    <definedName name="PC2L" localSheetId="4">#REF!</definedName>
    <definedName name="PC2L" localSheetId="3">#REF!</definedName>
    <definedName name="PC2L">#REF!</definedName>
    <definedName name="PE膜0.3mm_聚脂纖維3mm_工料" localSheetId="4">#REF!</definedName>
    <definedName name="PE膜0.3mm_聚脂纖維3mm_工料" localSheetId="3">#REF!</definedName>
    <definedName name="PE膜0.3mm_聚脂纖維3mm_工料">#REF!</definedName>
    <definedName name="PH" localSheetId="4">[2]單價2!#REF!</definedName>
    <definedName name="PH" localSheetId="3">[2]單價2!#REF!</definedName>
    <definedName name="PH">[3]單價2!#REF!</definedName>
    <definedName name="PL_150×10mm" localSheetId="4">#REF!</definedName>
    <definedName name="PL_150×10mm" localSheetId="3">#REF!</definedName>
    <definedName name="PL_150×10mm">#REF!</definedName>
    <definedName name="PL_200×200×10mm" localSheetId="4">#REF!</definedName>
    <definedName name="PL_200×200×10mm" localSheetId="3">#REF!</definedName>
    <definedName name="PL_200×200×10mm">#REF!</definedName>
    <definedName name="PRIMER_0.3L_m2" localSheetId="4">#REF!</definedName>
    <definedName name="PRIMER_0.3L_m2" localSheetId="3">#REF!</definedName>
    <definedName name="PRIMER_0.3L_m2">#REF!</definedName>
    <definedName name="_xlnm.Print_Area" localSheetId="4">施工圖!$A$1:$Z$28</definedName>
    <definedName name="_xlnm.Print_Area" localSheetId="0">計畫書!$A$1:$X$61</definedName>
    <definedName name="_xlnm.Print_Area" localSheetId="3">'計畫書 (2)'!$A$1:$Z$35</definedName>
    <definedName name="_xlnm.Print_Area" localSheetId="1">計算書!$A$1:$X$15</definedName>
    <definedName name="_xlnm.Print_Area" localSheetId="2">廠商檢測性報告!$A$1:$Y$6</definedName>
    <definedName name="_xlnm.Print_Area">#REF!</definedName>
    <definedName name="Print_Area_MI" localSheetId="4">#REF!</definedName>
    <definedName name="Print_Area_MI" localSheetId="3">#REF!</definedName>
    <definedName name="PRINT_AREA_MI">#REF!</definedName>
    <definedName name="Print_litil">#REF!</definedName>
    <definedName name="Print_litilt">#REF!</definedName>
    <definedName name="print_title">#REF!</definedName>
    <definedName name="_xlnm.Print_Titles" localSheetId="4">施工圖!$1:$4</definedName>
    <definedName name="_xlnm.Print_Titles" localSheetId="0">計畫書!$1:$4</definedName>
    <definedName name="_xlnm.Print_Titles" localSheetId="3">'計畫書 (2)'!$1:$4</definedName>
    <definedName name="_xlnm.Print_Titles" localSheetId="1">計算書!$1:$4</definedName>
    <definedName name="_xlnm.Print_Titles" localSheetId="2">廠商檢測性報告!$1:$4</definedName>
    <definedName name="PS隔熱板10cm連工帶料" localSheetId="4">#REF!</definedName>
    <definedName name="PS隔熱板10cm連工帶料" localSheetId="3">#REF!</definedName>
    <definedName name="PS隔熱板10cm連工帶料">#REF!</definedName>
    <definedName name="PU防水層" localSheetId="4">#REF!</definedName>
    <definedName name="PU防水層" localSheetId="3">#REF!</definedName>
    <definedName name="PU防水層">#REF!</definedName>
    <definedName name="PU防水層連工帶料">[23]工料單價!$G$52</definedName>
    <definedName name="PU發泡吸音天花" localSheetId="4">#REF!</definedName>
    <definedName name="PU發泡吸音天花" localSheetId="3">#REF!</definedName>
    <definedName name="PU發泡吸音天花">#REF!</definedName>
    <definedName name="PU發泡吸音牆面1.4_61_61cm" localSheetId="4">#REF!</definedName>
    <definedName name="PU發泡吸音牆面1.4_61_61cm" localSheetId="3">#REF!</definedName>
    <definedName name="PU發泡吸音牆面1.4_61_61cm">#REF!</definedName>
    <definedName name="PVC止滑條" localSheetId="4">#REF!</definedName>
    <definedName name="PVC止滑條" localSheetId="3">#REF!</definedName>
    <definedName name="PVC止滑條">#REF!</definedName>
    <definedName name="PVC防潮膠布" localSheetId="4">#REF!</definedName>
    <definedName name="PVC防潮膠布" localSheetId="3">#REF!</definedName>
    <definedName name="PVC防潮膠布">#REF!</definedName>
    <definedName name="PVC洩水孔" localSheetId="4">#REF!</definedName>
    <definedName name="PVC洩水孔" localSheetId="3">#REF!</definedName>
    <definedName name="PVC洩水孔">#REF!</definedName>
    <definedName name="PVC踢腳板" localSheetId="4">#REF!</definedName>
    <definedName name="PVC踢腳板" localSheetId="3">#REF!</definedName>
    <definedName name="PVC踢腳板">#REF!</definedName>
    <definedName name="qqq" localSheetId="4">[13]薪資DEMO!$I$6:$Q$19,[13]薪資DEMO!$I$22:$Q$36,[13]薪資DEMO!$I$39:$Q$53,[13]薪資DEMO!$I$56:$Q$70,[13]薪資DEMO!$I$73:$Q$87,[13]薪資DEMO!$I$90:$Q$104,[13]薪資DEMO!$I$107:$Q$121,[13]薪資DEMO!$I$124:$Q$138,[13]薪資DEMO!$I$141:$Q$155,[13]薪資DEMO!#REF!,[13]薪資DEMO!#REF!,[13]薪資DEMO!#REF!</definedName>
    <definedName name="qqq" localSheetId="3">[13]薪資DEMO!$I$6:$Q$19,[13]薪資DEMO!$I$22:$Q$36,[13]薪資DEMO!$I$39:$Q$53,[13]薪資DEMO!$I$56:$Q$70,[13]薪資DEMO!$I$73:$Q$87,[13]薪資DEMO!$I$90:$Q$104,[13]薪資DEMO!$I$107:$Q$121,[13]薪資DEMO!$I$124:$Q$138,[13]薪資DEMO!$I$141:$Q$155,[13]薪資DEMO!#REF!,[13]薪資DEMO!#REF!,[13]薪資DEMO!#REF!</definedName>
    <definedName name="qqq">[13]薪資DEMO!$I$6:$Q$19,[13]薪資DEMO!$I$22:$Q$36,[13]薪資DEMO!$I$39:$Q$53,[13]薪資DEMO!$I$56:$Q$70,[13]薪資DEMO!$I$73:$Q$87,[13]薪資DEMO!$I$90:$Q$104,[13]薪資DEMO!$I$107:$Q$121,[13]薪資DEMO!$I$124:$Q$138,[13]薪資DEMO!$I$141:$Q$155,[13]薪資DEMO!#REF!,[13]薪資DEMO!#REF!,[13]薪資DEMO!#REF!</definedName>
    <definedName name="QRKS090105" localSheetId="4">#REF!</definedName>
    <definedName name="QRKS090105" localSheetId="3">#REF!</definedName>
    <definedName name="QRKS090105">#REF!</definedName>
    <definedName name="RE" localSheetId="4">[2]單價2!#REF!</definedName>
    <definedName name="RE" localSheetId="3">[2]單價2!#REF!</definedName>
    <definedName name="RE">[3]單價2!#REF!</definedName>
    <definedName name="_xlnm.Recorder" localSheetId="4">#REF!</definedName>
    <definedName name="_xlnm.Recorder" localSheetId="3">#REF!</definedName>
    <definedName name="_xlnm.Recorder">#REF!</definedName>
    <definedName name="RIG" localSheetId="4">#REF!</definedName>
    <definedName name="RIG" localSheetId="3">#REF!</definedName>
    <definedName name="RIG">#REF!</definedName>
    <definedName name="RIGID" localSheetId="4">#REF!</definedName>
    <definedName name="RIGID" localSheetId="3">#REF!</definedName>
    <definedName name="RIGID">#REF!</definedName>
    <definedName name="RP" localSheetId="4">#REF!</definedName>
    <definedName name="RP" localSheetId="3">#REF!</definedName>
    <definedName name="RP">#REF!</definedName>
    <definedName name="RR" localSheetId="4">[24]單價2!#REF!</definedName>
    <definedName name="RR" localSheetId="3">[24]單價2!#REF!</definedName>
    <definedName name="RR">[24]單價2!#REF!</definedName>
    <definedName name="rsch">[25]估驗總表!$C$13</definedName>
    <definedName name="SD280W">[4]鋼筋材料!$M$13</definedName>
    <definedName name="SD420W">[4]鋼筋材料!$M$14</definedName>
    <definedName name="SL" localSheetId="4">#REF!</definedName>
    <definedName name="SL" localSheetId="3">#REF!</definedName>
    <definedName name="SL">#REF!</definedName>
    <definedName name="SLABW">[16]梁輸入!$G$8</definedName>
    <definedName name="SLI" localSheetId="4">#REF!</definedName>
    <definedName name="SLI" localSheetId="3">#REF!</definedName>
    <definedName name="SLI">#REF!</definedName>
    <definedName name="SLO" localSheetId="4">#REF!</definedName>
    <definedName name="SLO" localSheetId="3">#REF!</definedName>
    <definedName name="SLO">#REF!</definedName>
    <definedName name="STEELTABLE">'[26]STEEL TABLE'!$A$2:$K$10</definedName>
    <definedName name="SUB_1" localSheetId="4">[2]單價2!#REF!</definedName>
    <definedName name="SUB_1" localSheetId="3">[2]單價2!#REF!</definedName>
    <definedName name="SUB_1">[3]單價2!#REF!</definedName>
    <definedName name="SUB_2" localSheetId="4">[2]單價2!#REF!</definedName>
    <definedName name="SUB_2" localSheetId="3">[2]單價2!#REF!</definedName>
    <definedName name="SUB_2">[3]單價2!#REF!</definedName>
    <definedName name="SUB_3" localSheetId="4">[2]單價2!#REF!</definedName>
    <definedName name="SUB_3" localSheetId="3">[2]單價2!#REF!</definedName>
    <definedName name="SUB_3">[3]單價2!#REF!</definedName>
    <definedName name="SUB_4" localSheetId="4">[2]單價2!#REF!</definedName>
    <definedName name="SUB_4" localSheetId="3">[2]單價2!#REF!</definedName>
    <definedName name="SUB_4">[3]單價2!#REF!</definedName>
    <definedName name="SUS氣密點檢孔" localSheetId="4">#REF!</definedName>
    <definedName name="SUS氣密點檢孔" localSheetId="3">#REF!</definedName>
    <definedName name="SUS氣密點檢孔">#REF!</definedName>
    <definedName name="syt">[27]進度資料!$A$2:$I$18</definedName>
    <definedName name="T">'[28]鋼筋L(2)'!$F$4</definedName>
    <definedName name="T_33" localSheetId="4">#REF!</definedName>
    <definedName name="T_33" localSheetId="3">#REF!</definedName>
    <definedName name="T_33">#REF!</definedName>
    <definedName name="T_34" localSheetId="4">#REF!</definedName>
    <definedName name="T_34" localSheetId="3">#REF!</definedName>
    <definedName name="T_34">#REF!</definedName>
    <definedName name="T10_14" localSheetId="4">#REF!</definedName>
    <definedName name="T10_14" localSheetId="3">#REF!</definedName>
    <definedName name="T10_14">#REF!</definedName>
    <definedName name="T10_16" localSheetId="4">#REF!</definedName>
    <definedName name="T10_16" localSheetId="3">#REF!</definedName>
    <definedName name="T10_16">#REF!</definedName>
    <definedName name="T10_17" localSheetId="4">#REF!</definedName>
    <definedName name="T10_17" localSheetId="3">#REF!</definedName>
    <definedName name="T10_17">#REF!</definedName>
    <definedName name="T10_18" localSheetId="4">#REF!</definedName>
    <definedName name="T10_18" localSheetId="3">#REF!</definedName>
    <definedName name="T10_18">#REF!</definedName>
    <definedName name="T10_20" localSheetId="4">#REF!</definedName>
    <definedName name="T10_20" localSheetId="3">#REF!</definedName>
    <definedName name="T10_20">#REF!</definedName>
    <definedName name="T10_21" localSheetId="4">#REF!</definedName>
    <definedName name="T10_21" localSheetId="3">#REF!</definedName>
    <definedName name="T10_21">#REF!</definedName>
    <definedName name="T10_22" localSheetId="4">#REF!</definedName>
    <definedName name="T10_22" localSheetId="3">#REF!</definedName>
    <definedName name="T10_22">#REF!</definedName>
    <definedName name="T10_23" localSheetId="4">#REF!</definedName>
    <definedName name="T10_23" localSheetId="3">#REF!</definedName>
    <definedName name="T10_23">#REF!</definedName>
    <definedName name="T9_18" localSheetId="4">#REF!</definedName>
    <definedName name="T9_18" localSheetId="3">#REF!</definedName>
    <definedName name="T9_18">#REF!</definedName>
    <definedName name="T9_22" localSheetId="4">#REF!</definedName>
    <definedName name="T9_22" localSheetId="3">#REF!</definedName>
    <definedName name="T9_22">#REF!</definedName>
    <definedName name="T9_23" localSheetId="4">#REF!</definedName>
    <definedName name="T9_23" localSheetId="3">#REF!</definedName>
    <definedName name="T9_23">#REF!</definedName>
    <definedName name="T9_25" localSheetId="4">#REF!</definedName>
    <definedName name="T9_25" localSheetId="3">#REF!</definedName>
    <definedName name="T9_25">#REF!</definedName>
    <definedName name="T9_27" localSheetId="4">#REF!</definedName>
    <definedName name="T9_27" localSheetId="3">#REF!</definedName>
    <definedName name="T9_27">#REF!</definedName>
    <definedName name="t9_28" localSheetId="4">#REF!</definedName>
    <definedName name="t9_28" localSheetId="3">#REF!</definedName>
    <definedName name="t9_28">#REF!</definedName>
    <definedName name="T9_29" localSheetId="4">#REF!</definedName>
    <definedName name="T9_29" localSheetId="3">#REF!</definedName>
    <definedName name="T9_29">#REF!</definedName>
    <definedName name="T9_30" localSheetId="4">#REF!</definedName>
    <definedName name="T9_30" localSheetId="3">#REF!</definedName>
    <definedName name="T9_30">#REF!</definedName>
    <definedName name="T9_31" localSheetId="4">#REF!</definedName>
    <definedName name="T9_31" localSheetId="3">#REF!</definedName>
    <definedName name="T9_31">#REF!</definedName>
    <definedName name="T9_35" localSheetId="4">#REF!</definedName>
    <definedName name="T9_35" localSheetId="3">#REF!</definedName>
    <definedName name="T9_35">#REF!</definedName>
    <definedName name="T9_36" localSheetId="4">#REF!</definedName>
    <definedName name="T9_36" localSheetId="3">#REF!</definedName>
    <definedName name="T9_36">#REF!</definedName>
    <definedName name="T9_37" localSheetId="4">#REF!</definedName>
    <definedName name="T9_37" localSheetId="3">#REF!</definedName>
    <definedName name="T9_37">#REF!</definedName>
    <definedName name="T9_38" localSheetId="4">#REF!</definedName>
    <definedName name="T9_38" localSheetId="3">#REF!</definedName>
    <definedName name="T9_38">#REF!</definedName>
    <definedName name="T9_39" localSheetId="4">#REF!</definedName>
    <definedName name="T9_39" localSheetId="3">#REF!</definedName>
    <definedName name="T9_39">#REF!</definedName>
    <definedName name="TBL" localSheetId="4">#REF!</definedName>
    <definedName name="TBL" localSheetId="3">#REF!</definedName>
    <definedName name="TBL">#REF!</definedName>
    <definedName name="TDW" localSheetId="4">#REF!</definedName>
    <definedName name="TDW" localSheetId="3">#REF!</definedName>
    <definedName name="TDW">#REF!</definedName>
    <definedName name="TNS" localSheetId="4">#REF!</definedName>
    <definedName name="TNS" localSheetId="3">#REF!</definedName>
    <definedName name="TNS">#REF!</definedName>
    <definedName name="T型接頭" localSheetId="4">#REF!</definedName>
    <definedName name="T型接頭" localSheetId="3">#REF!</definedName>
    <definedName name="T型接頭">#REF!</definedName>
    <definedName name="UT超音波檢測" localSheetId="4">#REF!</definedName>
    <definedName name="UT超音波檢測" localSheetId="3">#REF!</definedName>
    <definedName name="UT超音波檢測">#REF!</definedName>
    <definedName name="vu" localSheetId="4" hidden="1">{"'週報'!$A$1:$U$33"}</definedName>
    <definedName name="vu" localSheetId="3" hidden="1">{"'週報'!$A$1:$U$33"}</definedName>
    <definedName name="vu" hidden="1">{"'週報'!$A$1:$U$33"}</definedName>
    <definedName name="VULKEM_450無毒防水膜" localSheetId="4">#REF!</definedName>
    <definedName name="VULKEM_450無毒防水膜" localSheetId="3">#REF!</definedName>
    <definedName name="VULKEM_450無毒防水膜">#REF!</definedName>
    <definedName name="WORKER_AREA" localSheetId="4">[17]勞保DEMO!$B$6,[17]勞保DEMO!$B$6:$J$19,[17]勞保DEMO!$B$22:$J$36,[17]勞保DEMO!$B$39:$J$53,[17]勞保DEMO!$B$56:$J$70,[17]勞保DEMO!$B$73:$J$87,[17]勞保DEMO!$B$90:$J$104,[17]勞保DEMO!$B$107:$J$120,[17]勞保DEMO!$B$121:$J$121,[17]勞保DEMO!$B$124:$J$138,[17]勞保DEMO!$B$141:$J$155,[17]勞保DEMO!$B$158:$J$172,[17]勞保DEMO!#REF!</definedName>
    <definedName name="WORKER_AREA" localSheetId="3">[17]勞保DEMO!$B$6,[17]勞保DEMO!$B$6:$J$19,[17]勞保DEMO!$B$22:$J$36,[17]勞保DEMO!$B$39:$J$53,[17]勞保DEMO!$B$56:$J$70,[17]勞保DEMO!$B$73:$J$87,[17]勞保DEMO!$B$90:$J$104,[17]勞保DEMO!$B$107:$J$120,[17]勞保DEMO!$B$121:$J$121,[17]勞保DEMO!$B$124:$J$138,[17]勞保DEMO!$B$141:$J$155,[17]勞保DEMO!$B$158:$J$172,[17]勞保DEMO!#REF!</definedName>
    <definedName name="WORKER_AREA">[17]勞保DEMO!$B$6,[17]勞保DEMO!$B$6:$J$19,[17]勞保DEMO!$B$22:$J$36,[17]勞保DEMO!$B$39:$J$53,[17]勞保DEMO!$B$56:$J$70,[17]勞保DEMO!$B$73:$J$87,[17]勞保DEMO!$B$90:$J$104,[17]勞保DEMO!$B$107:$J$120,[17]勞保DEMO!$B$121:$J$121,[17]勞保DEMO!$B$124:$J$138,[17]勞保DEMO!$B$141:$J$155,[17]勞保DEMO!$B$158:$J$172,[17]勞保DEMO!#REF!</definedName>
    <definedName name="yes" localSheetId="4">[13]勞保DEMO!$B$6,[13]勞保DEMO!$B$6:$J$19,[13]勞保DEMO!$B$22:$J$36,[13]勞保DEMO!$B$39:$J$53,[13]勞保DEMO!$B$56:$J$70,[13]勞保DEMO!$B$73:$J$87,[13]勞保DEMO!$B$90:$J$104,[13]勞保DEMO!$B$107:$J$120,[13]勞保DEMO!$B$121:$J$121,[13]勞保DEMO!$B$124:$J$138,[13]勞保DEMO!$B$141:$J$155,[13]勞保DEMO!#REF!,[13]勞保DEMO!#REF!</definedName>
    <definedName name="yes" localSheetId="3">[13]勞保DEMO!$B$6,[13]勞保DEMO!$B$6:$J$19,[13]勞保DEMO!$B$22:$J$36,[13]勞保DEMO!$B$39:$J$53,[13]勞保DEMO!$B$56:$J$70,[13]勞保DEMO!$B$73:$J$87,[13]勞保DEMO!$B$90:$J$104,[13]勞保DEMO!$B$107:$J$120,[13]勞保DEMO!$B$121:$J$121,[13]勞保DEMO!$B$124:$J$138,[13]勞保DEMO!$B$141:$J$155,[13]勞保DEMO!#REF!,[13]勞保DEMO!#REF!</definedName>
    <definedName name="yes">[13]勞保DEMO!$B$6,[13]勞保DEMO!$B$6:$J$19,[13]勞保DEMO!$B$22:$J$36,[13]勞保DEMO!$B$39:$J$53,[13]勞保DEMO!$B$56:$J$70,[13]勞保DEMO!$B$73:$J$87,[13]勞保DEMO!$B$90:$J$104,[13]勞保DEMO!$B$107:$J$120,[13]勞保DEMO!$B$121:$J$121,[13]勞保DEMO!$B$124:$J$138,[13]勞保DEMO!$B$141:$J$155,[13]勞保DEMO!#REF!,[13]勞保DEMO!#REF!</definedName>
    <definedName name="φ1_2_不銹鋼棒" localSheetId="4">#REF!</definedName>
    <definedName name="φ1_2_不銹鋼棒" localSheetId="3">#REF!</definedName>
    <definedName name="φ1_2_不銹鋼棒">#REF!</definedName>
    <definedName name="φ10×100cm連通管" localSheetId="4">#REF!</definedName>
    <definedName name="φ10×100cm連通管" localSheetId="3">#REF!</definedName>
    <definedName name="φ10×100cm連通管">#REF!</definedName>
    <definedName name="φ10×75cm連通管" localSheetId="4">#REF!</definedName>
    <definedName name="φ10×75cm連通管" localSheetId="3">#REF!</definedName>
    <definedName name="φ10×75cm連通管">#REF!</definedName>
    <definedName name="φ10×80cm連通管" localSheetId="4">#REF!</definedName>
    <definedName name="φ10×80cm連通管" localSheetId="3">#REF!</definedName>
    <definedName name="φ10×80cm連通管">#REF!</definedName>
    <definedName name="φ100mm落水管" localSheetId="4">#REF!</definedName>
    <definedName name="φ100mm落水管" localSheetId="3">#REF!</definedName>
    <definedName name="φ100mm落水管">#REF!</definedName>
    <definedName name="φ10cm排水管" localSheetId="4">#REF!</definedName>
    <definedName name="φ10cm排水管" localSheetId="3">#REF!</definedName>
    <definedName name="φ10cm排水管">#REF!</definedName>
    <definedName name="φ150mm落水管" localSheetId="4">#REF!</definedName>
    <definedName name="φ150mm落水管" localSheetId="3">#REF!</definedName>
    <definedName name="φ150mm落水管">#REF!</definedName>
    <definedName name="φ2_白卵石" localSheetId="4">#REF!</definedName>
    <definedName name="φ2_白卵石" localSheetId="3">#REF!</definedName>
    <definedName name="φ2_白卵石">#REF!</definedName>
    <definedName name="φ20×100cm連通管" localSheetId="4">#REF!</definedName>
    <definedName name="φ20×100cm連通管" localSheetId="3">#REF!</definedName>
    <definedName name="φ20×100cm連通管">#REF!</definedName>
    <definedName name="φ20×75cm連通管" localSheetId="4">#REF!</definedName>
    <definedName name="φ20×75cm連通管" localSheetId="3">#REF!</definedName>
    <definedName name="φ20×75cm連通管">#REF!</definedName>
    <definedName name="φ2cm螺栓" localSheetId="4">#REF!</definedName>
    <definedName name="φ2cm螺栓" localSheetId="3">#REF!</definedName>
    <definedName name="φ2cm螺栓">#REF!</definedName>
    <definedName name="φ60×100cm連通管" localSheetId="4">#REF!</definedName>
    <definedName name="φ60×100cm連通管" localSheetId="3">#REF!</definedName>
    <definedName name="φ60×100cm連通管">#REF!</definedName>
    <definedName name="φ60×75cm連通管" localSheetId="4">#REF!</definedName>
    <definedName name="φ60×75cm連通管" localSheetId="3">#REF!</definedName>
    <definedName name="φ60×75cm連通管">#REF!</definedName>
    <definedName name="φ7.5cm高腳落水頭" localSheetId="4">#REF!</definedName>
    <definedName name="φ7.5cm高腳落水頭" localSheetId="3">#REF!</definedName>
    <definedName name="φ7.5cm高腳落水頭">#REF!</definedName>
    <definedName name="一丁掛">[5]工料單價!$B$2</definedName>
    <definedName name="一般排架" localSheetId="4">#REF!</definedName>
    <definedName name="一般排架" localSheetId="3">#REF!</definedName>
    <definedName name="一般排架">#REF!</definedName>
    <definedName name="一般陰井100×100×180㎝" localSheetId="4">#REF!</definedName>
    <definedName name="一般陰井100×100×180㎝" localSheetId="3">#REF!</definedName>
    <definedName name="一般陰井100×100×180㎝">#REF!</definedName>
    <definedName name="一般陰井100×100×200㎝" localSheetId="4">#REF!</definedName>
    <definedName name="一般陰井100×100×200㎝" localSheetId="3">#REF!</definedName>
    <definedName name="一般陰井100×100×200㎝">#REF!</definedName>
    <definedName name="一般陰井100×100×240㎝" localSheetId="4">#REF!</definedName>
    <definedName name="一般陰井100×100×240㎝" localSheetId="3">#REF!</definedName>
    <definedName name="一般陰井100×100×240㎝">#REF!</definedName>
    <definedName name="一般陰井60×60×120㎝" localSheetId="4">#REF!</definedName>
    <definedName name="一般陰井60×60×120㎝" localSheetId="3">#REF!</definedName>
    <definedName name="一般陰井60×60×120㎝">#REF!</definedName>
    <definedName name="一般陰井60×60×60㎝" localSheetId="4">#REF!</definedName>
    <definedName name="一般陰井60×60×60㎝" localSheetId="3">#REF!</definedName>
    <definedName name="一般陰井60×60×60㎝">#REF!</definedName>
    <definedName name="一般陰井60×60×90㎝" localSheetId="4">#REF!</definedName>
    <definedName name="一般陰井60×60×90㎝" localSheetId="3">#REF!</definedName>
    <definedName name="一般陰井60×60×90㎝">#REF!</definedName>
    <definedName name="一般模板材料" localSheetId="4">#REF!</definedName>
    <definedName name="一般模板材料" localSheetId="3">#REF!</definedName>
    <definedName name="一般模板材料">#REF!</definedName>
    <definedName name="九芎_φ4cm_高2.5_3m" localSheetId="4">#REF!</definedName>
    <definedName name="九芎_φ4cm_高2.5_3m" localSheetId="3">#REF!</definedName>
    <definedName name="九芎_φ4cm_高2.5_3m">#REF!</definedName>
    <definedName name="九芎移植φ_10_20cm" localSheetId="4">#REF!</definedName>
    <definedName name="九芎移植φ_10_20cm" localSheetId="3">#REF!</definedName>
    <definedName name="九芎移植φ_10_20cm">#REF!</definedName>
    <definedName name="二丁掛">[22]工料單價!$B$3</definedName>
    <definedName name="二台北" localSheetId="4">#REF!</definedName>
    <definedName name="二台北" localSheetId="3">#REF!</definedName>
    <definedName name="二台北">#REF!</definedName>
    <definedName name="人員ˍ日" localSheetId="4">#REF!</definedName>
    <definedName name="人員ˍ日" localSheetId="3">#REF!</definedName>
    <definedName name="人員ˍ日">#REF!</definedName>
    <definedName name="人員ˍ累" localSheetId="4">#REF!</definedName>
    <definedName name="人員ˍ累" localSheetId="3">#REF!</definedName>
    <definedName name="人員ˍ累">#REF!</definedName>
    <definedName name="入口水池103.4×50×5cm花崗岩物料" localSheetId="4">#REF!</definedName>
    <definedName name="入口水池103.4×50×5cm花崗岩物料" localSheetId="3">#REF!</definedName>
    <definedName name="入口水池103.4×50×5cm花崗岩物料">#REF!</definedName>
    <definedName name="入口水池113.9×30×70cm花崗石塊" localSheetId="4">#REF!</definedName>
    <definedName name="入口水池113.9×30×70cm花崗石塊" localSheetId="3">#REF!</definedName>
    <definedName name="入口水池113.9×30×70cm花崗石塊">#REF!</definedName>
    <definedName name="入口水池72×30×40cm花崗石塊" localSheetId="4">#REF!</definedName>
    <definedName name="入口水池72×30×40cm花崗石塊" localSheetId="3">#REF!</definedName>
    <definedName name="入口水池72×30×40cm花崗石塊">#REF!</definedName>
    <definedName name="入口水池82.5×50×5cm花崗岩物料" localSheetId="4">#REF!</definedName>
    <definedName name="入口水池82.5×50×5cm花崗岩物料" localSheetId="3">#REF!</definedName>
    <definedName name="入口水池82.5×50×5cm花崗岩物料">#REF!</definedName>
    <definedName name="入口水池92.9×30×55cm花崗石塊" localSheetId="4">#REF!</definedName>
    <definedName name="入口水池92.9×30×55cm花崗石塊" localSheetId="3">#REF!</definedName>
    <definedName name="入口水池92.9×30×55cm花崗石塊">#REF!</definedName>
    <definedName name="入口水池花崗碎石片_不規則_物料" localSheetId="4">#REF!</definedName>
    <definedName name="入口水池花崗碎石片_不規則_物料" localSheetId="3">#REF!</definedName>
    <definedName name="入口水池花崗碎石片_不規則_物料">#REF!</definedName>
    <definedName name="入口廣場噴泉系統" localSheetId="4">#REF!</definedName>
    <definedName name="入口廣場噴泉系統" localSheetId="3">#REF!</definedName>
    <definedName name="入口廣場噴泉系統">#REF!</definedName>
    <definedName name="三角架">[22]工料單價!$B$39</definedName>
    <definedName name="上構工程" localSheetId="4">#REF!</definedName>
    <definedName name="上構工程" localSheetId="3">#REF!</definedName>
    <definedName name="上構工程">#REF!</definedName>
    <definedName name="大王椰子移植φ_10_20cm" localSheetId="4">#REF!</definedName>
    <definedName name="大王椰子移植φ_10_20cm" localSheetId="3">#REF!</definedName>
    <definedName name="大王椰子移植φ_10_20cm">#REF!</definedName>
    <definedName name="大理石_象牙白馬福林3cm" localSheetId="4">#REF!</definedName>
    <definedName name="大理石_象牙白馬福林3cm" localSheetId="3">#REF!</definedName>
    <definedName name="大理石_象牙白馬福林3cm">#REF!</definedName>
    <definedName name="大葉山欖_φ8cm_高3_3.5m" localSheetId="4">#REF!</definedName>
    <definedName name="大葉山欖_φ8cm_高3_3.5m" localSheetId="3">#REF!</definedName>
    <definedName name="大葉山欖_φ8cm_高3_3.5m">#REF!</definedName>
    <definedName name="小口珍珠釉面磚" localSheetId="4">[29]工料單價!$B$7</definedName>
    <definedName name="小口珍珠釉面磚" localSheetId="3">[29]工料單價!$B$7</definedName>
    <definedName name="小口珍珠釉面磚">[30]工料單價!$B$7</definedName>
    <definedName name="小口磚">[31]工料單價!$B$4</definedName>
    <definedName name="小口磚_珍珠彩釉磚" localSheetId="4">[32]工料單價!#REF!</definedName>
    <definedName name="小口磚_珍珠彩釉磚" localSheetId="3">[32]工料單價!#REF!</definedName>
    <definedName name="小口磚_珍珠彩釉磚">[32]工料單價!#REF!</definedName>
    <definedName name="小便斗隔板" localSheetId="4">#REF!</definedName>
    <definedName name="小便斗隔板" localSheetId="3">#REF!</definedName>
    <definedName name="小便斗隔板">#REF!</definedName>
    <definedName name="山櫻移植φ_10cm以下" localSheetId="4">#REF!</definedName>
    <definedName name="山櫻移植φ_10cm以下" localSheetId="3">#REF!</definedName>
    <definedName name="山櫻移植φ_10cm以下">#REF!</definedName>
    <definedName name="工地周轉金">[33]Data!$B$21</definedName>
    <definedName name="工別號碼" localSheetId="4">#REF!</definedName>
    <definedName name="工別號碼" localSheetId="3">#REF!</definedName>
    <definedName name="工別號碼">#REF!</definedName>
    <definedName name="工期">[33]Data!$B$13</definedName>
    <definedName name="工程施工抽排水設施" localSheetId="4">#REF!</definedName>
    <definedName name="工程施工抽排水設施" localSheetId="3">#REF!</definedName>
    <definedName name="工程施工抽排水設施">#REF!</definedName>
    <definedName name="工程進度">[33]Data!$F$2:$F$58</definedName>
    <definedName name="工程摘要" localSheetId="4">#REF!</definedName>
    <definedName name="工程摘要" localSheetId="3">#REF!</definedName>
    <definedName name="工程摘要">#REF!</definedName>
    <definedName name="工資人工地盤鋪花崗石" localSheetId="4">#REF!</definedName>
    <definedName name="工資人工地盤鋪花崗石" localSheetId="3">#REF!</definedName>
    <definedName name="工資人工地盤鋪花崗石">#REF!</definedName>
    <definedName name="工資入口水池花崗石片" localSheetId="4">#REF!</definedName>
    <definedName name="工資入口水池花崗石片" localSheetId="3">#REF!</definedName>
    <definedName name="工資入口水池花崗石片">#REF!</definedName>
    <definedName name="工資入口水池花崗石塊" localSheetId="4">#REF!</definedName>
    <definedName name="工資入口水池花崗石塊" localSheetId="3">#REF!</definedName>
    <definedName name="工資入口水池花崗石塊">#REF!</definedName>
    <definedName name="工資入口水池花崗碎石片_不規則" localSheetId="4">#REF!</definedName>
    <definedName name="工資入口水池花崗碎石片_不規則" localSheetId="3">#REF!</definedName>
    <definedName name="工資入口水池花崗碎石片_不規則">#REF!</definedName>
    <definedName name="工資內牆貼大理石" localSheetId="4">#REF!</definedName>
    <definedName name="工資內牆貼大理石" localSheetId="3">#REF!</definedName>
    <definedName name="工資內牆貼大理石">#REF!</definedName>
    <definedName name="工資水景池安山岩景石" localSheetId="4">#REF!</definedName>
    <definedName name="工資水景池安山岩景石" localSheetId="3">#REF!</definedName>
    <definedName name="工資水景池安山岩景石">#REF!</definedName>
    <definedName name="工資水景池花崗石" localSheetId="4">#REF!</definedName>
    <definedName name="工資水景池花崗石" localSheetId="3">#REF!</definedName>
    <definedName name="工資水景池花崗石">#REF!</definedName>
    <definedName name="工資外牆貼花崗石" localSheetId="4">#REF!</definedName>
    <definedName name="工資外牆貼花崗石" localSheetId="3">#REF!</definedName>
    <definedName name="工資外牆貼花崗石">#REF!</definedName>
    <definedName name="工資光體雕塑鋼構架安裝" localSheetId="4">#REF!</definedName>
    <definedName name="工資光體雕塑鋼構架安裝" localSheetId="3">#REF!</definedName>
    <definedName name="工資光體雕塑鋼構架安裝">#REF!</definedName>
    <definedName name="工資地坪花崗石" localSheetId="4">#REF!</definedName>
    <definedName name="工資地坪花崗石" localSheetId="3">#REF!</definedName>
    <definedName name="工資地坪花崗石">#REF!</definedName>
    <definedName name="工資地坪紋石" localSheetId="4">#REF!</definedName>
    <definedName name="工資地坪紋石" localSheetId="3">#REF!</definedName>
    <definedName name="工資地坪紋石">#REF!</definedName>
    <definedName name="工資地坪貼花崗石" localSheetId="4">#REF!</definedName>
    <definedName name="工資地坪貼花崗石" localSheetId="3">#REF!</definedName>
    <definedName name="工資地坪貼花崗石">#REF!</definedName>
    <definedName name="工資安山岩收邊石" localSheetId="4">#REF!</definedName>
    <definedName name="工資安山岩收邊石" localSheetId="3">#REF!</definedName>
    <definedName name="工資安山岩收邊石">#REF!</definedName>
    <definedName name="工資金字塔鋪花崗石" localSheetId="4">#REF!</definedName>
    <definedName name="工資金字塔鋪花崗石" localSheetId="3">#REF!</definedName>
    <definedName name="工資金字塔鋪花崗石">#REF!</definedName>
    <definedName name="工資活動車阻安裝" localSheetId="4">#REF!</definedName>
    <definedName name="工資活動車阻安裝" localSheetId="3">#REF!</definedName>
    <definedName name="工資活動車阻安裝">#REF!</definedName>
    <definedName name="工資紅木地坪" localSheetId="4">#REF!</definedName>
    <definedName name="工資紅木地坪" localSheetId="3">#REF!</definedName>
    <definedName name="工資紅木地坪">#REF!</definedName>
    <definedName name="工資座椅安山岩_裝修工程" localSheetId="4">#REF!</definedName>
    <definedName name="工資座椅安山岩_裝修工程" localSheetId="3">#REF!</definedName>
    <definedName name="工資座椅安山岩_裝修工程">#REF!</definedName>
    <definedName name="工資座椅花崗石" localSheetId="4">#REF!</definedName>
    <definedName name="工資座椅花崗石" localSheetId="3">#REF!</definedName>
    <definedName name="工資座椅花崗石">#REF!</definedName>
    <definedName name="工資座椅花崗石_石塊造型" localSheetId="4">#REF!</definedName>
    <definedName name="工資座椅花崗石_石塊造型" localSheetId="3">#REF!</definedName>
    <definedName name="工資座椅花崗石_石塊造型">#REF!</definedName>
    <definedName name="工資座椅花崗石塊_紅木座椅" localSheetId="4">#REF!</definedName>
    <definedName name="工資座椅花崗石塊_紅木座椅" localSheetId="3">#REF!</definedName>
    <definedName name="工資座椅花崗石塊_紅木座椅">#REF!</definedName>
    <definedName name="工資座椅紋石" localSheetId="4">#REF!</definedName>
    <definedName name="工資座椅紋石" localSheetId="3">#REF!</definedName>
    <definedName name="工資座椅紋石">#REF!</definedName>
    <definedName name="工資氣墩鋼構架" localSheetId="4">#REF!</definedName>
    <definedName name="工資氣墩鋼構架" localSheetId="3">#REF!</definedName>
    <definedName name="工資氣墩鋼構架">#REF!</definedName>
    <definedName name="工資排安山岩緣石" localSheetId="4">#REF!</definedName>
    <definedName name="工資排安山岩緣石" localSheetId="3">#REF!</definedName>
    <definedName name="工資排安山岩緣石">#REF!</definedName>
    <definedName name="工資排收邊緣石" localSheetId="4">#REF!</definedName>
    <definedName name="工資排收邊緣石" localSheetId="3">#REF!</definedName>
    <definedName name="工資排收邊緣石">#REF!</definedName>
    <definedName name="工資排卵石" localSheetId="4">#REF!</definedName>
    <definedName name="工資排卵石" localSheetId="3">#REF!</definedName>
    <definedName name="工資排卵石">#REF!</definedName>
    <definedName name="工資排邊石" localSheetId="4">#REF!</definedName>
    <definedName name="工資排邊石" localSheetId="3">#REF!</definedName>
    <definedName name="工資排邊石">#REF!</definedName>
    <definedName name="工資貼安山岩" localSheetId="4">#REF!</definedName>
    <definedName name="工資貼安山岩" localSheetId="3">#REF!</definedName>
    <definedName name="工資貼安山岩">#REF!</definedName>
    <definedName name="工資貼弧形紋石" localSheetId="4">#REF!</definedName>
    <definedName name="工資貼弧形紋石" localSheetId="3">#REF!</definedName>
    <definedName name="工資貼弧形紋石">#REF!</definedName>
    <definedName name="工資階梯花崗石" localSheetId="4">#REF!</definedName>
    <definedName name="工資階梯花崗石" localSheetId="3">#REF!</definedName>
    <definedName name="工資階梯花崗石">#REF!</definedName>
    <definedName name="工資圓形門砌花崗石塊" localSheetId="4">#REF!</definedName>
    <definedName name="工資圓形門砌花崗石塊" localSheetId="3">#REF!</definedName>
    <definedName name="工資圓形門砌花崗石塊">#REF!</definedName>
    <definedName name="工資旗竿花崗石" localSheetId="4">#REF!</definedName>
    <definedName name="工資旗竿花崗石" localSheetId="3">#REF!</definedName>
    <definedName name="工資旗竿花崗石">#REF!</definedName>
    <definedName name="工資輕質混凝土整平" localSheetId="4">#REF!</definedName>
    <definedName name="工資輕質混凝土整平" localSheetId="3">#REF!</definedName>
    <definedName name="工資輕質混凝土整平">#REF!</definedName>
    <definedName name="工資緣石花崗石" localSheetId="4">#REF!</definedName>
    <definedName name="工資緣石花崗石" localSheetId="3">#REF!</definedName>
    <definedName name="工資緣石花崗石">#REF!</definedName>
    <definedName name="工資鋪安山岩" localSheetId="4">#REF!</definedName>
    <definedName name="工資鋪安山岩" localSheetId="3">#REF!</definedName>
    <definedName name="工資鋪安山岩">#REF!</definedName>
    <definedName name="工資鋪安山岩_座椅燈具" localSheetId="4">#REF!</definedName>
    <definedName name="工資鋪安山岩_座椅燈具" localSheetId="3">#REF!</definedName>
    <definedName name="工資鋪安山岩_座椅燈具">#REF!</definedName>
    <definedName name="工資鋪安山岩收邊緣石" localSheetId="4">#REF!</definedName>
    <definedName name="工資鋪安山岩收邊緣石" localSheetId="3">#REF!</definedName>
    <definedName name="工資鋪安山岩收邊緣石">#REF!</definedName>
    <definedName name="工資鋪安山岩塊_石座椅" localSheetId="4">#REF!</definedName>
    <definedName name="工資鋪安山岩塊_石座椅" localSheetId="3">#REF!</definedName>
    <definedName name="工資鋪安山岩塊_石座椅">#REF!</definedName>
    <definedName name="工資鋪收邊緣石" localSheetId="4">#REF!</definedName>
    <definedName name="工資鋪收邊緣石" localSheetId="3">#REF!</definedName>
    <definedName name="工資鋪收邊緣石">#REF!</definedName>
    <definedName name="工資鋪紋石景石" localSheetId="4">#REF!</definedName>
    <definedName name="工資鋪紋石景石" localSheetId="3">#REF!</definedName>
    <definedName name="工資鋪紋石景石">#REF!</definedName>
    <definedName name="工資鋪連鎖磚" localSheetId="4">#REF!</definedName>
    <definedName name="工資鋪連鎖磚" localSheetId="3">#REF!</definedName>
    <definedName name="工資鋪連鎖磚">#REF!</definedName>
    <definedName name="工資邊石花崗石" localSheetId="4">#REF!</definedName>
    <definedName name="工資邊石花崗石" localSheetId="3">#REF!</definedName>
    <definedName name="工資邊石花崗石">#REF!</definedName>
    <definedName name="不銹鋼工料" localSheetId="4">#REF!</definedName>
    <definedName name="不銹鋼工料" localSheetId="3">#REF!</definedName>
    <definedName name="不銹鋼工料">#REF!</definedName>
    <definedName name="不銹鋼化妝蓋板" localSheetId="4">#REF!</definedName>
    <definedName name="不銹鋼化妝蓋板" localSheetId="3">#REF!</definedName>
    <definedName name="不銹鋼化妝蓋板">#REF!</definedName>
    <definedName name="不銹鋼化妝蓋板_含角框" localSheetId="4">#REF!</definedName>
    <definedName name="不銹鋼化妝蓋板_含角框" localSheetId="3">#REF!</definedName>
    <definedName name="不銹鋼化妝蓋板_含角框">#REF!</definedName>
    <definedName name="不銹鋼化妝蓋板_含角框及e型鋼_100_50_5" localSheetId="4">#REF!</definedName>
    <definedName name="不銹鋼化妝蓋板_含角框及e型鋼_100_50_5" localSheetId="3">#REF!</definedName>
    <definedName name="不銹鋼化妝蓋板_含角框及e型鋼_100_50_5">#REF!</definedName>
    <definedName name="不銹鋼平帽落水頭" localSheetId="4">#REF!</definedName>
    <definedName name="不銹鋼平帽落水頭" localSheetId="3">#REF!</definedName>
    <definedName name="不銹鋼平帽落水頭">#REF!</definedName>
    <definedName name="不銹鋼沖孔板" localSheetId="4">#REF!</definedName>
    <definedName name="不銹鋼沖孔板" localSheetId="3">#REF!</definedName>
    <definedName name="不銹鋼沖孔板">#REF!</definedName>
    <definedName name="不銹鋼板扶手" localSheetId="4">#REF!</definedName>
    <definedName name="不銹鋼板扶手" localSheetId="3">#REF!</definedName>
    <definedName name="不銹鋼板扶手">#REF!</definedName>
    <definedName name="不銹鋼高帽落水頭" localSheetId="4">#REF!</definedName>
    <definedName name="不銹鋼高帽落水頭" localSheetId="3">#REF!</definedName>
    <definedName name="不銹鋼高帽落水頭">#REF!</definedName>
    <definedName name="不銹鋼側向落水頭" localSheetId="4">#REF!</definedName>
    <definedName name="不銹鋼側向落水頭" localSheetId="3">#REF!</definedName>
    <definedName name="不銹鋼側向落水頭">#REF!</definedName>
    <definedName name="不銹鋼插梢φ1.2cm長10cm" localSheetId="4">#REF!</definedName>
    <definedName name="不銹鋼插梢φ1.2cm長10cm" localSheetId="3">#REF!</definedName>
    <definedName name="不銹鋼插梢φ1.2cm長10cm">#REF!</definedName>
    <definedName name="不銹鋼圓帽落水頭" localSheetId="4">#REF!</definedName>
    <definedName name="不銹鋼圓帽落水頭" localSheetId="3">#REF!</definedName>
    <definedName name="不銹鋼圓帽落水頭">#REF!</definedName>
    <definedName name="不銹鋼箱體" localSheetId="4">#REF!</definedName>
    <definedName name="不銹鋼箱體" localSheetId="3">#REF!</definedName>
    <definedName name="不銹鋼箱體">#REF!</definedName>
    <definedName name="不銹鋼螺栓" localSheetId="4">#REF!</definedName>
    <definedName name="不銹鋼螺栓" localSheetId="3">#REF!</definedName>
    <definedName name="不銹鋼螺栓">#REF!</definedName>
    <definedName name="中間柱隆起觀測點" localSheetId="4">#REF!</definedName>
    <definedName name="中間柱隆起觀測點" localSheetId="3">#REF!</definedName>
    <definedName name="中間柱隆起觀測點">#REF!</definedName>
    <definedName name="五金墊塊" localSheetId="4">#REF!</definedName>
    <definedName name="五金墊塊" localSheetId="3">#REF!</definedName>
    <definedName name="五金墊塊">#REF!</definedName>
    <definedName name="五金機具" localSheetId="4">#REF!</definedName>
    <definedName name="五金機具" localSheetId="3">#REF!</definedName>
    <definedName name="五金機具">#REF!</definedName>
    <definedName name="內裝門窗索引表" localSheetId="4">#REF!</definedName>
    <definedName name="內裝門窗索引表" localSheetId="3">#REF!</definedName>
    <definedName name="內裝門窗索引表">#REF!</definedName>
    <definedName name="內牆1_2防水粉刷">[31]單價分析!$F$50</definedName>
    <definedName name="內牆1_2防水粉刷刷漆">[31]單價分析!$F$1043</definedName>
    <definedName name="內牆1_3粉刷">[31]單價分析!$F$58</definedName>
    <definedName name="內牆打底工資">[31]工料單價!$J$15</definedName>
    <definedName name="內牆打底工資_系模">[6]工料單價!$J$18</definedName>
    <definedName name="內牆防水貼20_20磁磚">[22]單價分析!$F$606</definedName>
    <definedName name="內牆刷反光漆連工帶料">[6]工料單價!$J$50</definedName>
    <definedName name="內牆刷水性水泥漆連工帶料">[6]工料單價!$J$47</definedName>
    <definedName name="內牆刷乳膠漆連工帶料" localSheetId="4">#REF!</definedName>
    <definedName name="內牆刷乳膠漆連工帶料" localSheetId="3">#REF!</definedName>
    <definedName name="內牆刷乳膠漆連工帶料">#REF!</definedName>
    <definedName name="內牆刷乳膠漆連工帶料_系模">[6]工料單價!$J$49</definedName>
    <definedName name="內牆刷漆連工帶料">[31]工料單價!$J$44</definedName>
    <definedName name="內牆刷漆連工帶料_油">[31]工料單價!$J$45</definedName>
    <definedName name="內牆抹_洗石子工資">[5]工料單價!$J$26</definedName>
    <definedName name="內牆抹_斬石子工資">[5]工料單價!$J$23</definedName>
    <definedName name="內牆粉光工資">[31]工料單價!$J$10</definedName>
    <definedName name="內牆粉光工資1_2" localSheetId="4">#REF!</definedName>
    <definedName name="內牆粉光工資1_2" localSheetId="3">#REF!</definedName>
    <definedName name="內牆粉光工資1_2">#REF!</definedName>
    <definedName name="內牆粉光工資1_3" localSheetId="4">#REF!</definedName>
    <definedName name="內牆粉光工資1_3" localSheetId="3">#REF!</definedName>
    <definedName name="內牆粉光工資1_3">#REF!</definedName>
    <definedName name="內牆粉刷工資_系模">[6]工料單價!$J$12</definedName>
    <definedName name="內牆粉刷刷漆">[31]單價分析!$F$1052</definedName>
    <definedName name="內牆貼20_25磁磚">[31]單價分析!$F$616</definedName>
    <definedName name="內牆貼花崗石_溼式">[31]單價分析!$F$292</definedName>
    <definedName name="內牆貼花崗石連工帶料">[31]工料單價!$J$32</definedName>
    <definedName name="內牆貼馬賽克">[31]單價分析!$F$530</definedName>
    <definedName name="內牆貼磚工資">[31]工料單價!$J$37</definedName>
    <definedName name="內牆貼磚工資_系模">[6]工料單價!$J$39</definedName>
    <definedName name="內牆磁磚打底工資">[31]工料單價!$J$16</definedName>
    <definedName name="公司攤費">[33]Data!$B$5</definedName>
    <definedName name="公共電話隔屏玻璃_8_8膠合玻璃_.95_.35m" localSheetId="4">#REF!</definedName>
    <definedName name="公共電話隔屏玻璃_8_8膠合玻璃_.95_.35m" localSheetId="3">#REF!</definedName>
    <definedName name="公共電話隔屏玻璃_8_8膠合玻璃_.95_.35m">#REF!</definedName>
    <definedName name="分包費用">[33]估算成本分析總表!$H$13</definedName>
    <definedName name="分包總額_有預付款部份">[33]Data!$B$29</definedName>
    <definedName name="分隔板">[22]工料單價!$B$40</definedName>
    <definedName name="切縫處理" localSheetId="4">#REF!</definedName>
    <definedName name="切縫處理" localSheetId="3">#REF!</definedName>
    <definedName name="切縫處理">#REF!</definedName>
    <definedName name="支撐應變計" localSheetId="4">#REF!</definedName>
    <definedName name="支撐應變計" localSheetId="3">#REF!</definedName>
    <definedName name="支撐應變計">#REF!</definedName>
    <definedName name="文化瓦" localSheetId="4">#REF!</definedName>
    <definedName name="文化瓦" localSheetId="3">#REF!</definedName>
    <definedName name="文化瓦">#REF!</definedName>
    <definedName name="方塊磚10_10">[22]工料單價!$B$5</definedName>
    <definedName name="月份">[33]Data!$E$2:$E$58</definedName>
    <definedName name="木地板及板凳工程" localSheetId="4">#REF!</definedName>
    <definedName name="木地板及板凳工程" localSheetId="3">#REF!</definedName>
    <definedName name="木地板及板凳工程">#REF!</definedName>
    <definedName name="木棉移植φ_10cm以下" localSheetId="4">#REF!</definedName>
    <definedName name="木棉移植φ_10cm以下" localSheetId="3">#REF!</definedName>
    <definedName name="木棉移植φ_10cm以下">#REF!</definedName>
    <definedName name="木製天花" localSheetId="4">#REF!</definedName>
    <definedName name="木製天花" localSheetId="3">#REF!</definedName>
    <definedName name="木製天花">#REF!</definedName>
    <definedName name="木質吸音天花" localSheetId="4">#REF!</definedName>
    <definedName name="木質吸音天花" localSheetId="3">#REF!</definedName>
    <definedName name="木質吸音天花">#REF!</definedName>
    <definedName name="木質踢腳板" localSheetId="4">#REF!</definedName>
    <definedName name="木質踢腳板" localSheetId="3">#REF!</definedName>
    <definedName name="木質踢腳板">#REF!</definedName>
    <definedName name="木壁板牆面" localSheetId="4">#REF!</definedName>
    <definedName name="木壁板牆面" localSheetId="3">#REF!</definedName>
    <definedName name="木壁板牆面">#REF!</definedName>
    <definedName name="止水板" localSheetId="4">#REF!</definedName>
    <definedName name="止水板" localSheetId="3">#REF!</definedName>
    <definedName name="止水板">#REF!</definedName>
    <definedName name="止水樁施工費" localSheetId="4">#REF!</definedName>
    <definedName name="止水樁施工費" localSheetId="3">#REF!</definedName>
    <definedName name="止水樁施工費">#REF!</definedName>
    <definedName name="水平支撐安全網" localSheetId="4">#REF!</definedName>
    <definedName name="水平支撐安全網" localSheetId="3">#REF!</definedName>
    <definedName name="水平支撐安全網">#REF!</definedName>
    <definedName name="水池燈及組件" localSheetId="4">#REF!</definedName>
    <definedName name="水池燈及組件" localSheetId="3">#REF!</definedName>
    <definedName name="水池燈及組件">#REF!</definedName>
    <definedName name="水位觀測井" localSheetId="4">#REF!</definedName>
    <definedName name="水位觀測井" localSheetId="3">#REF!</definedName>
    <definedName name="水位觀測井">#REF!</definedName>
    <definedName name="水杉_φ8cm_高2.8_3m" localSheetId="4">#REF!</definedName>
    <definedName name="水杉_φ8cm_高2.8_3m" localSheetId="3">#REF!</definedName>
    <definedName name="水杉_φ8cm_高2.8_3m">#REF!</definedName>
    <definedName name="水泥">[31]工料單價!$F$2</definedName>
    <definedName name="水泥墊塊_鐵絲_外勞__地上層">[6]工料單價!$J$70</definedName>
    <definedName name="水泥墊塊_鐵絲_自辦__地下室">[6]工料單價!$J$63</definedName>
    <definedName name="水景池花崗石收邊緣石" localSheetId="4">#REF!</definedName>
    <definedName name="水景池花崗石收邊緣石" localSheetId="3">#REF!</definedName>
    <definedName name="水景池花崗石收邊緣石">#REF!</definedName>
    <definedName name="水景池跌水花崗石" localSheetId="4">#REF!</definedName>
    <definedName name="水景池跌水花崗石" localSheetId="3">#REF!</definedName>
    <definedName name="水景池跌水花崗石">#REF!</definedName>
    <definedName name="水箱貼磚工資" localSheetId="4">#REF!</definedName>
    <definedName name="水箱貼磚工資" localSheetId="3">#REF!</definedName>
    <definedName name="水箱貼磚工資">#REF!</definedName>
    <definedName name="水箱磁磚打底工資" localSheetId="4">#REF!</definedName>
    <definedName name="水箱磁磚打底工資" localSheetId="3">#REF!</definedName>
    <definedName name="水箱磁磚打底工資">#REF!</definedName>
    <definedName name="丙烯橡膠聚酯纖維防水層" localSheetId="4">#REF!</definedName>
    <definedName name="丙烯橡膠聚酯纖維防水層" localSheetId="3">#REF!</definedName>
    <definedName name="丙烯橡膠聚酯纖維防水層">#REF!</definedName>
    <definedName name="丙種模板" localSheetId="4">#REF!</definedName>
    <definedName name="丙種模板" localSheetId="3">#REF!</definedName>
    <definedName name="丙種模板">#REF!</definedName>
    <definedName name="加州紅木4__4__120cm" localSheetId="4">#REF!</definedName>
    <definedName name="加州紅木4__4__120cm" localSheetId="3">#REF!</definedName>
    <definedName name="加州紅木4__4__120cm">#REF!</definedName>
    <definedName name="加州紅木球" localSheetId="4">#REF!</definedName>
    <definedName name="加州紅木球" localSheetId="3">#REF!</definedName>
    <definedName name="加州紅木球">#REF!</definedName>
    <definedName name="去泥墊工料_含收邊材" localSheetId="4">#REF!</definedName>
    <definedName name="去泥墊工料_含收邊材" localSheetId="3">#REF!</definedName>
    <definedName name="去泥墊工料_含收邊材">#REF!</definedName>
    <definedName name="台灣沙羅_φ5cm_高2_2.5m" localSheetId="4">#REF!</definedName>
    <definedName name="台灣沙羅_φ5cm_高2_2.5m" localSheetId="3">#REF!</definedName>
    <definedName name="台灣沙羅_φ5cm_高2_2.5m">#REF!</definedName>
    <definedName name="台灣欒樹_φ8cm_高3_3.5m" localSheetId="4">#REF!</definedName>
    <definedName name="台灣欒樹_φ8cm_高3_3.5m" localSheetId="3">#REF!</definedName>
    <definedName name="台灣欒樹_φ8cm_高3_3.5m">#REF!</definedName>
    <definedName name="台灣欒樹移植φ_10_20cm" localSheetId="4">#REF!</definedName>
    <definedName name="台灣欒樹移植φ_10_20cm" localSheetId="3">#REF!</definedName>
    <definedName name="台灣欒樹移植φ_10_20cm">#REF!</definedName>
    <definedName name="外部鷹架">[22]單價分析!$F$1146</definedName>
    <definedName name="外牆打底工資">[31]工料單價!$J$13</definedName>
    <definedName name="外牆刷漆連工帶料">[5]工料單價!$J$42</definedName>
    <definedName name="外牆刷漆連工帶料_油">[5]工料單價!$J$43</definedName>
    <definedName name="外牆抹_洗石子工資">[31]工料單價!$J$25</definedName>
    <definedName name="外牆抹_斬石子工資">[5]工料單價!$J$22</definedName>
    <definedName name="外牆洗石子">[31]單價分析!$F$131</definedName>
    <definedName name="外牆粉光工資">[22]工料單價!$J$9</definedName>
    <definedName name="外牆貼二丁掛">[22]單價分析!$F$359</definedName>
    <definedName name="外牆貼方塊磚">[22]單價分析!$F$321</definedName>
    <definedName name="外牆貼花崗石連工帶料">[5]工料單價!$J$31</definedName>
    <definedName name="外牆貼花崗石連工帶料_小翠綠">[23]工料單價!$G$27</definedName>
    <definedName name="外牆貼花崗石連工帶料_南非黑">[23]工料單價!$G$28</definedName>
    <definedName name="外牆貼磚工資">[31]工料單價!$J$36</definedName>
    <definedName name="外牆磁磚打底工資">[31]工料單價!$J$14</definedName>
    <definedName name="平均橋寬" localSheetId="4">#REF!</definedName>
    <definedName name="平均橋寬" localSheetId="3">#REF!</definedName>
    <definedName name="平均橋寬">#REF!</definedName>
    <definedName name="平頂1_2防水粉刷">[22]單價分析!$F$76</definedName>
    <definedName name="平頂1_2防水粉刷刷漆">[31]單價分析!$F$1060</definedName>
    <definedName name="平頂1_3粉刷">[22]單價分析!$F$84</definedName>
    <definedName name="平頂打底工資">[31]工料單價!$J$19</definedName>
    <definedName name="平頂批土">[22]工料單價!$J$48</definedName>
    <definedName name="平頂批土工資" localSheetId="4">#REF!</definedName>
    <definedName name="平頂批土工資" localSheetId="3">#REF!</definedName>
    <definedName name="平頂批土工資">#REF!</definedName>
    <definedName name="平頂批土刷刷漆">[22]單價分析!$F$1077</definedName>
    <definedName name="平頂刷漆連工帶料">[22]工料單價!$J$46</definedName>
    <definedName name="平頂刷漆連工帶料_油">[31]工料單價!$J$47</definedName>
    <definedName name="平頂粉光工資">[31]工料單價!$J$12</definedName>
    <definedName name="平頂粉刷刷漆">[22]單價分析!$F$1069</definedName>
    <definedName name="本日累計進度" localSheetId="4">#REF!</definedName>
    <definedName name="本日累計進度" localSheetId="3">#REF!</definedName>
    <definedName name="本日累計進度">#REF!</definedName>
    <definedName name="本期成本金額" localSheetId="4">#REF!</definedName>
    <definedName name="本期成本金額" localSheetId="3">#REF!</definedName>
    <definedName name="本期成本金額">#REF!</definedName>
    <definedName name="白水泥">[5]工料單價!$F$6</definedName>
    <definedName name="石灰" localSheetId="4">#REF!</definedName>
    <definedName name="石灰" localSheetId="3">#REF!</definedName>
    <definedName name="石灰">#REF!</definedName>
    <definedName name="石材導盲紋路加工地坪" localSheetId="4">#REF!</definedName>
    <definedName name="石材導盲紋路加工地坪" localSheetId="3">#REF!</definedName>
    <definedName name="石材導盲紋路加工地坪">#REF!</definedName>
    <definedName name="石英磚10_20" localSheetId="4">#REF!</definedName>
    <definedName name="石英磚10_20" localSheetId="3">#REF!</definedName>
    <definedName name="石英磚10_20">#REF!</definedName>
    <definedName name="石英磚20_20">[22]工料單價!$B$6</definedName>
    <definedName name="石英磚20_20_止滑">[5]工料單價!$B$12</definedName>
    <definedName name="石英磚20_25">[31]工料單價!$B$7</definedName>
    <definedName name="石英磚20_26" localSheetId="4">#REF!</definedName>
    <definedName name="石英磚20_26" localSheetId="3">#REF!</definedName>
    <definedName name="石英磚20_26">#REF!</definedName>
    <definedName name="石英磚20_30">[5]工料單價!$B$8</definedName>
    <definedName name="石英磚30_30">[5]工料單價!$B$9</definedName>
    <definedName name="石英磚40_40">[31]工料單價!$B$10</definedName>
    <definedName name="石英磚50_50">[22]工料單價!$B$11</definedName>
    <definedName name="石粉">[31]工料單價!$F$8</definedName>
    <definedName name="石粒">[31]工料單價!$F$7</definedName>
    <definedName name="石膏天花批土工料" localSheetId="4">#REF!</definedName>
    <definedName name="石膏天花批土工料" localSheetId="3">#REF!</definedName>
    <definedName name="石膏天花批土工料">#REF!</definedName>
    <definedName name="石膏天花刷漆連工帶料" localSheetId="4">#REF!</definedName>
    <definedName name="石膏天花刷漆連工帶料" localSheetId="3">#REF!</definedName>
    <definedName name="石膏天花刷漆連工帶料">#REF!</definedName>
    <definedName name="石膏板天花連工帶料" localSheetId="4">#REF!</definedName>
    <definedName name="石膏板天花連工帶料" localSheetId="3">#REF!</definedName>
    <definedName name="石膏板天花連工帶料">#REF!</definedName>
    <definedName name="石膏板牆面_單層單面連工帶料" localSheetId="4">#REF!</definedName>
    <definedName name="石膏板牆面_單層單面連工帶料" localSheetId="3">#REF!</definedName>
    <definedName name="石膏板牆面_單層單面連工帶料">#REF!</definedName>
    <definedName name="劣質RC打除" localSheetId="4">#REF!</definedName>
    <definedName name="劣質RC打除" localSheetId="3">#REF!</definedName>
    <definedName name="劣質RC打除">#REF!</definedName>
    <definedName name="印度黃檀_φ8cm_高3_3.5m" localSheetId="4">#REF!</definedName>
    <definedName name="印度黃檀_φ8cm_高3_3.5m" localSheetId="3">#REF!</definedName>
    <definedName name="印度黃檀_φ8cm_高3_3.5m">#REF!</definedName>
    <definedName name="印度橡膠樹移植φ_70cm" localSheetId="4">#REF!</definedName>
    <definedName name="印度橡膠樹移植φ_70cm" localSheetId="3">#REF!</definedName>
    <definedName name="印度橡膠樹移植φ_70cm">#REF!</definedName>
    <definedName name="回填砂" localSheetId="4">#REF!</definedName>
    <definedName name="回填砂" localSheetId="3">#REF!</definedName>
    <definedName name="回填砂">#REF!</definedName>
    <definedName name="地下室水箱爬梯_6m" localSheetId="4">#REF!</definedName>
    <definedName name="地下室水箱爬梯_6m" localSheetId="3">#REF!</definedName>
    <definedName name="地下室水箱爬梯_6m">#REF!</definedName>
    <definedName name="地坪1_2MT鋪H_50高架地板">[31]單價分析!$F$1083</definedName>
    <definedName name="地坪1_2防水粉刷">[31]單價分析!$F$65</definedName>
    <definedName name="地坪1_3粉刷">[22]單價分析!$F$71</definedName>
    <definedName name="地坪打底工資">[5]工料單價!$J$17</definedName>
    <definedName name="地坪防水粉刷工資" localSheetId="4">#REF!</definedName>
    <definedName name="地坪防水粉刷工資" localSheetId="3">#REF!</definedName>
    <definedName name="地坪防水粉刷工資">#REF!</definedName>
    <definedName name="地坪防水貼20_20石英磚_軟底">[22]單價分析!$F$794</definedName>
    <definedName name="地坪防水貼20_20磁磚_硬底">[34]單價分析!$F$690</definedName>
    <definedName name="地坪防水貼20_25磁磚_軟底">[34]單價分析!$F$832</definedName>
    <definedName name="地坪防水貼50_50石英磚_軟底">[22]單價分析!$F$960</definedName>
    <definedName name="地坪防水貼馬賽克">[31]單價分析!$F$671</definedName>
    <definedName name="地坪抹_洗石子工資">[5]工料單價!$J$27</definedName>
    <definedName name="地坪抹_斬石子工資">[5]工料單價!$J$24</definedName>
    <definedName name="地坪抹_磨石子_崁銅條工資">[5]工料單價!$J$30</definedName>
    <definedName name="地坪抹_磨石子工資" localSheetId="4">[35]工料單價!#REF!</definedName>
    <definedName name="地坪抹_磨石子工資" localSheetId="3">[35]工料單價!#REF!</definedName>
    <definedName name="地坪抹_磨石子工資">[35]工料單價!#REF!</definedName>
    <definedName name="地坪粉光工資">[31]工料單價!$J$11</definedName>
    <definedName name="地坪粉刷工資" localSheetId="4">#REF!</definedName>
    <definedName name="地坪粉刷工資" localSheetId="3">#REF!</definedName>
    <definedName name="地坪粉刷工資">#REF!</definedName>
    <definedName name="地坪貼10_10磁磚_硬底">[31]單價分析!$F$753</definedName>
    <definedName name="地坪貼20_20石英磚_軟底">[22]單價分析!$F$787</definedName>
    <definedName name="地坪貼20_20磁磚_軟底">[22]單價分析!$F$772</definedName>
    <definedName name="地坪貼20_20磁磚_硬底">[34]單價分析!$F$681</definedName>
    <definedName name="地坪貼30_30石英磚_軟底">[34]單價分析!$F$915</definedName>
    <definedName name="地坪貼40_40石英磚_軟底">[31]單價分析!$F$945</definedName>
    <definedName name="地坪貼40_40磁磚_軟底">[34]單價分析!$F$930</definedName>
    <definedName name="地坪貼40_40磨石子地磚">[31]單價分析!$F$983</definedName>
    <definedName name="地坪貼H13_20其他類磚">[31]單價分析!$F$1013</definedName>
    <definedName name="地坪貼花崗石">[31]單價分析!$F$310</definedName>
    <definedName name="地坪貼花崗石連工帶料">[31]工料單價!$J$34</definedName>
    <definedName name="地坪貼花崗石連工帶料_小翠綠">[23]工料單價!$G$33</definedName>
    <definedName name="地坪貼花崗石連工帶料_巴拉中">[23]工料單價!$G$32</definedName>
    <definedName name="地坪貼馬賽克">[31]單價分析!$F$662</definedName>
    <definedName name="地坪貼磚工資_軟">[31]工料單價!$J$39</definedName>
    <definedName name="地坪貼磚工資_硬">[31]工料單價!$J$38</definedName>
    <definedName name="地坪磁磚打底工資">[31]工料單價!$J$18</definedName>
    <definedName name="地坪整體粉光" localSheetId="4">#REF!</definedName>
    <definedName name="地坪整體粉光" localSheetId="3">#REF!</definedName>
    <definedName name="地坪整體粉光">#REF!</definedName>
    <definedName name="地坪整體粉光工資" localSheetId="4">#REF!</definedName>
    <definedName name="地坪整體粉光工資" localSheetId="3">#REF!</definedName>
    <definedName name="地坪整體粉光工資">#REF!</definedName>
    <definedName name="地底投射燈及組件" localSheetId="4">#REF!</definedName>
    <definedName name="地底投射燈及組件" localSheetId="3">#REF!</definedName>
    <definedName name="地底投射燈及組件">#REF!</definedName>
    <definedName name="安山岩100_50_50cm" localSheetId="4">#REF!</definedName>
    <definedName name="安山岩100_50_50cm" localSheetId="3">#REF!</definedName>
    <definedName name="安山岩100_50_50cm">#REF!</definedName>
    <definedName name="安山岩12×40×120cm" localSheetId="4">#REF!</definedName>
    <definedName name="安山岩12×40×120cm" localSheetId="3">#REF!</definedName>
    <definedName name="安山岩12×40×120cm">#REF!</definedName>
    <definedName name="安山岩150_50_2.5cm" localSheetId="4">#REF!</definedName>
    <definedName name="安山岩150_50_2.5cm" localSheetId="3">#REF!</definedName>
    <definedName name="安山岩150_50_2.5cm">#REF!</definedName>
    <definedName name="安山岩150_50_5cm" localSheetId="4">#REF!</definedName>
    <definedName name="安山岩150_50_5cm" localSheetId="3">#REF!</definedName>
    <definedName name="安山岩150_50_5cm">#REF!</definedName>
    <definedName name="安山岩150×50×10cm" localSheetId="4">#REF!</definedName>
    <definedName name="安山岩150×50×10cm" localSheetId="3">#REF!</definedName>
    <definedName name="安山岩150×50×10cm">#REF!</definedName>
    <definedName name="安山岩50_15_25cm" localSheetId="4">#REF!</definedName>
    <definedName name="安山岩50_15_25cm" localSheetId="3">#REF!</definedName>
    <definedName name="安山岩50_15_25cm">#REF!</definedName>
    <definedName name="安山岩50_27_30" localSheetId="4">#REF!</definedName>
    <definedName name="安山岩50_27_30" localSheetId="3">#REF!</definedName>
    <definedName name="安山岩50_27_30">#REF!</definedName>
    <definedName name="安山岩50_50_5" localSheetId="4">#REF!</definedName>
    <definedName name="安山岩50_50_5" localSheetId="3">#REF!</definedName>
    <definedName name="安山岩50_50_5">#REF!</definedName>
    <definedName name="安山岩50_50_50" localSheetId="4">#REF!</definedName>
    <definedName name="安山岩50_50_50" localSheetId="3">#REF!</definedName>
    <definedName name="安山岩50_50_50">#REF!</definedName>
    <definedName name="安山岩石材支柱25×40×30cm" localSheetId="4">#REF!</definedName>
    <definedName name="安山岩石材支柱25×40×30cm" localSheetId="3">#REF!</definedName>
    <definedName name="安山岩石材支柱25×40×30cm">#REF!</definedName>
    <definedName name="安山岩石組_圓形植栽島" localSheetId="4">#REF!</definedName>
    <definedName name="安山岩石組_圓形植栽島" localSheetId="3">#REF!</definedName>
    <definedName name="安山岩石組_圓形植栽島">#REF!</definedName>
    <definedName name="安山岩收邊緣石_70_50_3" localSheetId="4">#REF!</definedName>
    <definedName name="安山岩收邊緣石_70_50_3" localSheetId="3">#REF!</definedName>
    <definedName name="安山岩收邊緣石_70_50_3">#REF!</definedName>
    <definedName name="安山岩收邊緣石100_56.55_10" localSheetId="4">#REF!</definedName>
    <definedName name="安山岩收邊緣石100_56.55_10" localSheetId="3">#REF!</definedName>
    <definedName name="安山岩收邊緣石100_56.55_10">#REF!</definedName>
    <definedName name="安山岩塊100_50_50_石座椅" localSheetId="4">#REF!</definedName>
    <definedName name="安山岩塊100_50_50_石座椅" localSheetId="3">#REF!</definedName>
    <definedName name="安山岩塊100_50_50_石座椅">#REF!</definedName>
    <definedName name="安全衛生資料庫_Sheet1_List" localSheetId="4">#REF!</definedName>
    <definedName name="安全衛生資料庫_Sheet1_List" localSheetId="3">#REF!</definedName>
    <definedName name="安全衛生資料庫_Sheet1_List">#REF!</definedName>
    <definedName name="羊蹄甲移植φ_10cm以下" localSheetId="4">#REF!</definedName>
    <definedName name="羊蹄甲移植φ_10cm以下" localSheetId="3">#REF!</definedName>
    <definedName name="羊蹄甲移植φ_10cm以下">#REF!</definedName>
    <definedName name="血桐移植φ_10_20cm" localSheetId="4">#REF!</definedName>
    <definedName name="血桐移植φ_10_20cm" localSheetId="3">#REF!</definedName>
    <definedName name="血桐移植φ_10_20cm">#REF!</definedName>
    <definedName name="西北向大門雨庇" localSheetId="4">#REF!</definedName>
    <definedName name="西北向大門雨庇" localSheetId="3">#REF!</definedName>
    <definedName name="西北向大門雨庇">#REF!</definedName>
    <definedName name="西南向大門雨庇" localSheetId="4">#REF!</definedName>
    <definedName name="西南向大門雨庇" localSheetId="3">#REF!</definedName>
    <definedName name="西南向大門雨庇">#REF!</definedName>
    <definedName name="作料工資" localSheetId="4">#REF!</definedName>
    <definedName name="作料工資" localSheetId="3">#REF!</definedName>
    <definedName name="作料工資">#REF!</definedName>
    <definedName name="刪除零值">#N/A</definedName>
    <definedName name="含稅總價">[33]Data!$C$8</definedName>
    <definedName name="吸音矽酸鈣板牆面_打洞式連工帶料" localSheetId="4">#REF!</definedName>
    <definedName name="吸音矽酸鈣板牆面_打洞式連工帶料" localSheetId="3">#REF!</definedName>
    <definedName name="吸音矽酸鈣板牆面_打洞式連工帶料">#REF!</definedName>
    <definedName name="吸音壁布__連工帶料" localSheetId="4">#REF!</definedName>
    <definedName name="吸音壁布__連工帶料" localSheetId="3">#REF!</definedName>
    <definedName name="吸音壁布__連工帶料">#REF!</definedName>
    <definedName name="快速給水閥" localSheetId="4">#REF!</definedName>
    <definedName name="快速給水閥" localSheetId="3">#REF!</definedName>
    <definedName name="快速給水閥">#REF!</definedName>
    <definedName name="批土及磨平" localSheetId="4">#REF!</definedName>
    <definedName name="批土及磨平" localSheetId="3">#REF!</definedName>
    <definedName name="批土及磨平">#REF!</definedName>
    <definedName name="投標" localSheetId="4">#REF!</definedName>
    <definedName name="投標" localSheetId="3">#REF!</definedName>
    <definedName name="投標">#REF!</definedName>
    <definedName name="投標總價" localSheetId="4">#REF!</definedName>
    <definedName name="投標總價" localSheetId="3">#REF!</definedName>
    <definedName name="投標總價">#REF!</definedName>
    <definedName name="材料" localSheetId="4">#REF!</definedName>
    <definedName name="材料" localSheetId="3">#REF!</definedName>
    <definedName name="材料">#REF!</definedName>
    <definedName name="材料_29_29導盲磚">[36]工料單價!$B$11</definedName>
    <definedName name="材料_60_60方塊地毯" localSheetId="4">#REF!</definedName>
    <definedName name="材料_60_60方塊地毯" localSheetId="3">#REF!</definedName>
    <definedName name="材料_60_60方塊地毯">#REF!</definedName>
    <definedName name="材料_二丁掛" localSheetId="4">#REF!</definedName>
    <definedName name="材料_二丁掛" localSheetId="3">#REF!</definedName>
    <definedName name="材料_二丁掛">#REF!</definedName>
    <definedName name="材料_止滑磚20_20" localSheetId="4">#REF!</definedName>
    <definedName name="材料_止滑磚20_20" localSheetId="3">#REF!</definedName>
    <definedName name="材料_止滑磚20_20">#REF!</definedName>
    <definedName name="材料_空心磚19_19_19" localSheetId="4">#REF!</definedName>
    <definedName name="材料_空心磚19_19_19" localSheetId="3">#REF!</definedName>
    <definedName name="材料_空心磚19_19_19">#REF!</definedName>
    <definedName name="材料_空心磚19_19_39" localSheetId="4">#REF!</definedName>
    <definedName name="材料_空心磚19_19_39" localSheetId="3">#REF!</definedName>
    <definedName name="材料_空心磚19_19_39">#REF!</definedName>
    <definedName name="材料_玻璃磚" localSheetId="4">#REF!</definedName>
    <definedName name="材料_玻璃磚" localSheetId="3">#REF!</definedName>
    <definedName name="材料_玻璃磚">#REF!</definedName>
    <definedName name="材料_紅磚" localSheetId="4">#REF!</definedName>
    <definedName name="材料_紅磚" localSheetId="3">#REF!</definedName>
    <definedName name="材料_紅磚">#REF!</definedName>
    <definedName name="材料_浮動地板" localSheetId="4">#REF!</definedName>
    <definedName name="材料_浮動地板" localSheetId="3">#REF!</definedName>
    <definedName name="材料_浮動地板">#REF!</definedName>
    <definedName name="材料_馬賽克" localSheetId="4">#REF!</definedName>
    <definedName name="材料_馬賽克" localSheetId="3">#REF!</definedName>
    <definedName name="材料_馬賽克">#REF!</definedName>
    <definedName name="材料_塑膠PVC地磚" localSheetId="4">#REF!</definedName>
    <definedName name="材料_塑膠PVC地磚" localSheetId="3">#REF!</definedName>
    <definedName name="材料_塑膠PVC地磚">#REF!</definedName>
    <definedName name="材料_磁磚10_10" localSheetId="4">#REF!</definedName>
    <definedName name="材料_磁磚10_10" localSheetId="3">#REF!</definedName>
    <definedName name="材料_磁磚10_10">#REF!</definedName>
    <definedName name="材料_磁磚20_20" localSheetId="4">#REF!</definedName>
    <definedName name="材料_磁磚20_20" localSheetId="3">#REF!</definedName>
    <definedName name="材料_磁磚20_20">#REF!</definedName>
    <definedName name="材料_磁磚20_20止滑" localSheetId="4">#REF!</definedName>
    <definedName name="材料_磁磚20_20止滑" localSheetId="3">#REF!</definedName>
    <definedName name="材料_磁磚20_20止滑">#REF!</definedName>
    <definedName name="材料_磁磚40_40" localSheetId="4">#REF!</definedName>
    <definedName name="材料_磁磚40_40" localSheetId="3">#REF!</definedName>
    <definedName name="材料_磁磚40_40">#REF!</definedName>
    <definedName name="材料_還原紅壁磚" localSheetId="4">#REF!</definedName>
    <definedName name="材料_還原紅壁磚" localSheetId="3">#REF!</definedName>
    <definedName name="材料_還原紅壁磚">#REF!</definedName>
    <definedName name="材料試驗1" localSheetId="4">#REF!</definedName>
    <definedName name="材料試驗1" localSheetId="3">#REF!</definedName>
    <definedName name="材料試驗1">#REF!</definedName>
    <definedName name="杜英移植φ_20_40cm" localSheetId="4">#REF!</definedName>
    <definedName name="杜英移植φ_20_40cm" localSheetId="3">#REF!</definedName>
    <definedName name="杜英移植φ_20_40cm">#REF!</definedName>
    <definedName name="杜鵑_高0.4_0.5m" localSheetId="4">#REF!</definedName>
    <definedName name="杜鵑_高0.4_0.5m" localSheetId="3">#REF!</definedName>
    <definedName name="杜鵑_高0.4_0.5m">#REF!</definedName>
    <definedName name="步道燈及組件" localSheetId="4">#REF!</definedName>
    <definedName name="步道燈及組件" localSheetId="3">#REF!</definedName>
    <definedName name="步道燈及組件">#REF!</definedName>
    <definedName name="每1_1.5cm鉅縫灌PU_工料" localSheetId="4">#REF!</definedName>
    <definedName name="每1_1.5cm鉅縫灌PU_工料" localSheetId="3">#REF!</definedName>
    <definedName name="每1_1.5cm鉅縫灌PU_工料">#REF!</definedName>
    <definedName name="每2_2cm鉅縫灌PU_工料" localSheetId="4">#REF!</definedName>
    <definedName name="每2_2cm鉅縫灌PU_工料" localSheetId="3">#REF!</definedName>
    <definedName name="每2_2cm鉅縫灌PU_工料">#REF!</definedName>
    <definedName name="沉陷觀測點" localSheetId="4">#REF!</definedName>
    <definedName name="沉陷觀測點" localSheetId="3">#REF!</definedName>
    <definedName name="沉陷觀測點">#REF!</definedName>
    <definedName name="沉澱池施工費" localSheetId="4">#REF!</definedName>
    <definedName name="沉澱池施工費" localSheetId="3">#REF!</definedName>
    <definedName name="沉澱池施工費">#REF!</definedName>
    <definedName name="系模材料攤提" localSheetId="4">#REF!</definedName>
    <definedName name="系模材料攤提" localSheetId="3">#REF!</definedName>
    <definedName name="系模材料攤提">#REF!</definedName>
    <definedName name="系模柱牆澆置" localSheetId="4">#REF!</definedName>
    <definedName name="系模柱牆澆置" localSheetId="3">#REF!</definedName>
    <definedName name="系模柱牆澆置">#REF!</definedName>
    <definedName name="車道格柵截水溝" localSheetId="4">#REF!</definedName>
    <definedName name="車道格柵截水溝" localSheetId="3">#REF!</definedName>
    <definedName name="車道格柵截水溝">#REF!</definedName>
    <definedName name="車道欄杆" localSheetId="4">#REF!</definedName>
    <definedName name="車道欄杆" localSheetId="3">#REF!</definedName>
    <definedName name="車道欄杆">#REF!</definedName>
    <definedName name="辛夷_8_10分支_高1.5_1.8m" localSheetId="4">#REF!</definedName>
    <definedName name="辛夷_8_10分支_高1.5_1.8m" localSheetId="3">#REF!</definedName>
    <definedName name="辛夷_8_10分支_高1.5_1.8m">#REF!</definedName>
    <definedName name="防水填縫" localSheetId="4">#REF!</definedName>
    <definedName name="防水填縫" localSheetId="3">#REF!</definedName>
    <definedName name="防水填縫">#REF!</definedName>
    <definedName name="防水鋁版2mm工料" localSheetId="4">#REF!</definedName>
    <definedName name="防水鋁版2mm工料" localSheetId="3">#REF!</definedName>
    <definedName name="防水鋁版2mm工料">#REF!</definedName>
    <definedName name="防水劑">[31]工料單價!$F$5</definedName>
    <definedName name="防火壁布吸音天花" localSheetId="4">#REF!</definedName>
    <definedName name="防火壁布吸音天花" localSheetId="3">#REF!</definedName>
    <definedName name="防火壁布吸音天花">#REF!</definedName>
    <definedName name="防火壁布吸音牆面" localSheetId="4">#REF!</definedName>
    <definedName name="防火壁布吸音牆面" localSheetId="3">#REF!</definedName>
    <definedName name="防火壁布吸音牆面">#REF!</definedName>
    <definedName name="防撞木壁板牆面" localSheetId="4">#REF!</definedName>
    <definedName name="防撞木壁板牆面" localSheetId="3">#REF!</definedName>
    <definedName name="防撞木壁板牆面">#REF!</definedName>
    <definedName name="防護網">[22]工料單價!$B$38</definedName>
    <definedName name="刺桐_φ8cm_高3_3.5m" localSheetId="4">#REF!</definedName>
    <definedName name="刺桐_φ8cm_高3_3.5m" localSheetId="3">#REF!</definedName>
    <definedName name="刺桐_φ8cm_高3_3.5m">#REF!</definedName>
    <definedName name="垃圾室橫拉門工程" localSheetId="4">#REF!</definedName>
    <definedName name="垃圾室橫拉門工程" localSheetId="3">#REF!</definedName>
    <definedName name="垃圾室橫拉門工程">#REF!</definedName>
    <definedName name="垃圾筒安裝工資" localSheetId="4">#REF!</definedName>
    <definedName name="垃圾筒安裝工資" localSheetId="3">#REF!</definedName>
    <definedName name="垃圾筒安裝工資">#REF!</definedName>
    <definedName name="定存利率">[33]Data!$B$11</definedName>
    <definedName name="宜蘭石" localSheetId="4">#REF!</definedName>
    <definedName name="宜蘭石" localSheetId="3">#REF!</definedName>
    <definedName name="宜蘭石">#REF!</definedName>
    <definedName name="岩面磚45_95mm" localSheetId="4">[29]工料單價!$B$5</definedName>
    <definedName name="岩面磚45_95mm" localSheetId="3">[29]工料單價!$B$5</definedName>
    <definedName name="岩面磚45_95mm">[30]工料單價!$B$5</definedName>
    <definedName name="明架PVC天花" localSheetId="4">#REF!</definedName>
    <definedName name="明架PVC天花" localSheetId="3">#REF!</definedName>
    <definedName name="明架PVC天花">#REF!</definedName>
    <definedName name="明架岩棉天花" localSheetId="4">#REF!</definedName>
    <definedName name="明架岩棉天花" localSheetId="3">#REF!</definedName>
    <definedName name="明架岩棉天花">#REF!</definedName>
    <definedName name="明細" localSheetId="4">#REF!</definedName>
    <definedName name="明細" localSheetId="3">#REF!</definedName>
    <definedName name="明細">#REF!</definedName>
    <definedName name="東南向大門雨庇" localSheetId="4">#REF!</definedName>
    <definedName name="東南向大門雨庇" localSheetId="3">#REF!</definedName>
    <definedName name="東南向大門雨庇">#REF!</definedName>
    <definedName name="油壓千斤頂" localSheetId="4">#REF!</definedName>
    <definedName name="油壓千斤頂" localSheetId="3">#REF!</definedName>
    <definedName name="油壓千斤頂">#REF!</definedName>
    <definedName name="物料安山岩景石" localSheetId="4">#REF!</definedName>
    <definedName name="物料安山岩景石" localSheetId="3">#REF!</definedName>
    <definedName name="物料安山岩景石">#REF!</definedName>
    <definedName name="物料弧形紋石" localSheetId="4">#REF!</definedName>
    <definedName name="物料弧形紋石" localSheetId="3">#REF!</definedName>
    <definedName name="物料弧形紋石">#REF!</definedName>
    <definedName name="物料紋石" localSheetId="4">#REF!</definedName>
    <definedName name="物料紋石" localSheetId="3">#REF!</definedName>
    <definedName name="物料紋石">#REF!</definedName>
    <definedName name="物料紋石60_100_40_土丘區" localSheetId="4">#REF!</definedName>
    <definedName name="物料紋石60_100_40_土丘區" localSheetId="3">#REF!</definedName>
    <definedName name="物料紋石60_100_40_土丘區">#REF!</definedName>
    <definedName name="物料紋石景石" localSheetId="4">#REF!</definedName>
    <definedName name="物料紋石景石" localSheetId="3">#REF!</definedName>
    <definedName name="物料紋石景石">#REF!</definedName>
    <definedName name="直接成本">[33]Data!$C$2</definedName>
    <definedName name="直接費用">[33]Data!$H$2:$H$58</definedName>
    <definedName name="矽酸鈣板天花" localSheetId="4">#REF!</definedName>
    <definedName name="矽酸鈣板天花" localSheetId="3">#REF!</definedName>
    <definedName name="矽酸鈣板天花">#REF!</definedName>
    <definedName name="空心磚">[5]工料單價!$B$13</definedName>
    <definedName name="空間桁架結構系統" localSheetId="4">#REF!</definedName>
    <definedName name="空間桁架結構系統" localSheetId="3">#REF!</definedName>
    <definedName name="空間桁架結構系統">#REF!</definedName>
    <definedName name="花崗石_R10cm×50cm_弧形" localSheetId="4">#REF!</definedName>
    <definedName name="花崗石_R10cm×50cm_弧形" localSheetId="3">#REF!</definedName>
    <definedName name="花崗石_R10cm×50cm_弧形">#REF!</definedName>
    <definedName name="花崗石_南非黑及印度黑2cm" localSheetId="4">#REF!</definedName>
    <definedName name="花崗石_南非黑及印度黑2cm" localSheetId="3">#REF!</definedName>
    <definedName name="花崗石_南非黑及印度黑2cm">#REF!</definedName>
    <definedName name="花崗石_洛克白3cm" localSheetId="4">#REF!</definedName>
    <definedName name="花崗石_洛克白3cm" localSheetId="3">#REF!</definedName>
    <definedName name="花崗石_洛克白3cm">#REF!</definedName>
    <definedName name="花崗石_象牙白馬福林2cm" localSheetId="4">#REF!</definedName>
    <definedName name="花崗石_象牙白馬福林2cm" localSheetId="3">#REF!</definedName>
    <definedName name="花崗石_象牙白馬福林2cm">#REF!</definedName>
    <definedName name="花崗石130_40_10cm" localSheetId="4">#REF!</definedName>
    <definedName name="花崗石130_40_10cm" localSheetId="3">#REF!</definedName>
    <definedName name="花崗石130_40_10cm">#REF!</definedName>
    <definedName name="花崗石45_25_2.5cm" localSheetId="4">#REF!</definedName>
    <definedName name="花崗石45_25_2.5cm" localSheetId="3">#REF!</definedName>
    <definedName name="花崗石45_25_2.5cm">#REF!</definedName>
    <definedName name="花崗石45_30_3cm" localSheetId="4">#REF!</definedName>
    <definedName name="花崗石45_30_3cm" localSheetId="3">#REF!</definedName>
    <definedName name="花崗石45_30_3cm">#REF!</definedName>
    <definedName name="花崗石49.5_49.5_5" localSheetId="4">#REF!</definedName>
    <definedName name="花崗石49.5_49.5_5" localSheetId="3">#REF!</definedName>
    <definedName name="花崗石49.5_49.5_5">#REF!</definedName>
    <definedName name="花崗石49.5_49.5_5cm" localSheetId="4">#REF!</definedName>
    <definedName name="花崗石49.5_49.5_5cm" localSheetId="3">#REF!</definedName>
    <definedName name="花崗石49.5_49.5_5cm">#REF!</definedName>
    <definedName name="花崗石49.5×49.5×5cm" localSheetId="4">#REF!</definedName>
    <definedName name="花崗石49.5×49.5×5cm" localSheetId="3">#REF!</definedName>
    <definedName name="花崗石49.5×49.5×5cm">#REF!</definedName>
    <definedName name="花崗石50_15_25cm" localSheetId="4">#REF!</definedName>
    <definedName name="花崗石50_15_25cm" localSheetId="3">#REF!</definedName>
    <definedName name="花崗石50_15_25cm">#REF!</definedName>
    <definedName name="花崗石50_20_10cm" localSheetId="4">#REF!</definedName>
    <definedName name="花崗石50_20_10cm" localSheetId="3">#REF!</definedName>
    <definedName name="花崗石50_20_10cm">#REF!</definedName>
    <definedName name="花崗石50_25_5cm" localSheetId="4">#REF!</definedName>
    <definedName name="花崗石50_25_5cm" localSheetId="3">#REF!</definedName>
    <definedName name="花崗石50_25_5cm">#REF!</definedName>
    <definedName name="花崗石50_40_15cm" localSheetId="4">#REF!</definedName>
    <definedName name="花崗石50_40_15cm" localSheetId="3">#REF!</definedName>
    <definedName name="花崗石50_40_15cm">#REF!</definedName>
    <definedName name="花崗石50_60_10cm" localSheetId="4">#REF!</definedName>
    <definedName name="花崗石50_60_10cm" localSheetId="3">#REF!</definedName>
    <definedName name="花崗石50_60_10cm">#REF!</definedName>
    <definedName name="花崗石55_35_39cm" localSheetId="4">#REF!</definedName>
    <definedName name="花崗石55_35_39cm" localSheetId="3">#REF!</definedName>
    <definedName name="花崗石55_35_39cm">#REF!</definedName>
    <definedName name="花崗石60_20_3cm" localSheetId="4">#REF!</definedName>
    <definedName name="花崗石60_20_3cm" localSheetId="3">#REF!</definedName>
    <definedName name="花崗石60_20_3cm">#REF!</definedName>
    <definedName name="花崗石60_55_10cm" localSheetId="4">#REF!</definedName>
    <definedName name="花崗石60_55_10cm" localSheetId="3">#REF!</definedName>
    <definedName name="花崗石60_55_10cm">#REF!</definedName>
    <definedName name="花崗石60_60_10cm" localSheetId="4">#REF!</definedName>
    <definedName name="花崗石60_60_10cm" localSheetId="3">#REF!</definedName>
    <definedName name="花崗石60_60_10cm">#REF!</definedName>
    <definedName name="花崗石60_60_10cm_弧形" localSheetId="4">#REF!</definedName>
    <definedName name="花崗石60_60_10cm_弧形" localSheetId="3">#REF!</definedName>
    <definedName name="花崗石60_60_10cm_弧形">#REF!</definedName>
    <definedName name="花崗石90_40_10cm" localSheetId="4">#REF!</definedName>
    <definedName name="花崗石90_40_10cm" localSheetId="3">#REF!</definedName>
    <definedName name="花崗石90_40_10cm">#REF!</definedName>
    <definedName name="花崗石止滑銅條" localSheetId="4">#REF!</definedName>
    <definedName name="花崗石止滑銅條" localSheetId="3">#REF!</definedName>
    <definedName name="花崗石止滑銅條">#REF!</definedName>
    <definedName name="花崗石包柱工資" localSheetId="4">#REF!</definedName>
    <definedName name="花崗石包柱工資" localSheetId="3">#REF!</definedName>
    <definedName name="花崗石包柱工資">#REF!</definedName>
    <definedName name="花崗石收邊物料25_25_10" localSheetId="4">#REF!</definedName>
    <definedName name="花崗石收邊物料25_25_10" localSheetId="3">#REF!</definedName>
    <definedName name="花崗石收邊物料25_25_10">#REF!</definedName>
    <definedName name="花崗石收邊緣石50_15_25cm" localSheetId="4">#REF!</definedName>
    <definedName name="花崗石收邊緣石50_15_25cm" localSheetId="3">#REF!</definedName>
    <definedName name="花崗石收邊緣石50_15_25cm">#REF!</definedName>
    <definedName name="花崗石板物料" localSheetId="4">#REF!</definedName>
    <definedName name="花崗石板物料" localSheetId="3">#REF!</definedName>
    <definedName name="花崗石板物料">#REF!</definedName>
    <definedName name="花崗石塊R_115cm_D_25cm_物料" localSheetId="4">#REF!</definedName>
    <definedName name="花崗石塊R_115cm_D_25cm_物料" localSheetId="3">#REF!</definedName>
    <definedName name="花崗石塊R_115cm_D_25cm_物料">#REF!</definedName>
    <definedName name="花崗石塊物料" localSheetId="4">#REF!</definedName>
    <definedName name="花崗石塊物料" localSheetId="3">#REF!</definedName>
    <definedName name="花崗石塊物料">#REF!</definedName>
    <definedName name="花崗石塊物料_石塊造型座椅" localSheetId="4">#REF!</definedName>
    <definedName name="花崗石塊物料_石塊造型座椅" localSheetId="3">#REF!</definedName>
    <definedName name="花崗石塊物料_石塊造型座椅">#REF!</definedName>
    <definedName name="花崗岩石板_弧形_物料" localSheetId="4">#REF!</definedName>
    <definedName name="花崗岩石板_弧形_物料" localSheetId="3">#REF!</definedName>
    <definedName name="花崗岩石板_弧形_物料">#REF!</definedName>
    <definedName name="表單" localSheetId="4">#REF!</definedName>
    <definedName name="表單" localSheetId="3">#REF!</definedName>
    <definedName name="表單">#REF!</definedName>
    <definedName name="表單一" localSheetId="4">[5]工程預算施工進度表!#REF!</definedName>
    <definedName name="表單一" localSheetId="3">[5]工程預算施工進度表!#REF!</definedName>
    <definedName name="表單一">[5]工程預算施工進度表!#REF!</definedName>
    <definedName name="表單九" localSheetId="4">#REF!</definedName>
    <definedName name="表單九" localSheetId="3">#REF!</definedName>
    <definedName name="表單九">#REF!</definedName>
    <definedName name="表單二" localSheetId="4">#REF!</definedName>
    <definedName name="表單二" localSheetId="3">#REF!</definedName>
    <definedName name="表單二">#REF!</definedName>
    <definedName name="表單三" localSheetId="4">#REF!</definedName>
    <definedName name="表單三" localSheetId="3">#REF!</definedName>
    <definedName name="表單三">#REF!</definedName>
    <definedName name="表單四" localSheetId="4">#REF!</definedName>
    <definedName name="表單四" localSheetId="3">#REF!</definedName>
    <definedName name="表單四">#REF!</definedName>
    <definedName name="金剛砂樹脂連工帶料" localSheetId="4">#REF!</definedName>
    <definedName name="金剛砂樹脂連工帶料" localSheetId="3">#REF!</definedName>
    <definedName name="金剛砂樹脂連工帶料">#REF!</definedName>
    <definedName name="金屬釉面磚">[5]工料單價!$B$14</definedName>
    <definedName name="門窗索引表" localSheetId="4">#REF!</definedName>
    <definedName name="門窗索引表" localSheetId="3">#REF!</definedName>
    <definedName name="門窗索引表">#REF!</definedName>
    <definedName name="阿伯勒移植φ_10cm以下" localSheetId="4">#REF!</definedName>
    <definedName name="阿伯勒移植φ_10cm以下" localSheetId="3">#REF!</definedName>
    <definedName name="阿伯勒移植φ_10cm以下">#REF!</definedName>
    <definedName name="附表">[8]AAA5!$B$1:$E$80</definedName>
    <definedName name="亮光蠟">[5]工料單價!$F$11</definedName>
    <definedName name="亮面金屬釉面磚" localSheetId="4">[29]工料單價!$B$8</definedName>
    <definedName name="亮面金屬釉面磚" localSheetId="3">[29]工料單價!$B$8</definedName>
    <definedName name="亮面金屬釉面磚">[30]工料單價!$B$8</definedName>
    <definedName name="係模五金" localSheetId="4">#REF!</definedName>
    <definedName name="係模五金" localSheetId="3">#REF!</definedName>
    <definedName name="係模五金">#REF!</definedName>
    <definedName name="保固保證金">[33]Data!$B$16</definedName>
    <definedName name="保固期">[33]Data!$B$20</definedName>
    <definedName name="保留款">[33]Data!$B$15</definedName>
    <definedName name="保證金利息">[33]Data!$B$12</definedName>
    <definedName name="保麗龍伸縮縫及PU填縫" localSheetId="4">#REF!</definedName>
    <definedName name="保麗龍伸縮縫及PU填縫" localSheetId="3">#REF!</definedName>
    <definedName name="保麗龍伸縮縫及PU填縫">#REF!</definedName>
    <definedName name="厚葉石斑木_高0.4_0.5m" localSheetId="4">#REF!</definedName>
    <definedName name="厚葉石斑木_高0.4_0.5m" localSheetId="3">#REF!</definedName>
    <definedName name="厚葉石斑木_高0.4_0.5m">#REF!</definedName>
    <definedName name="屋頂爬梯_9m" localSheetId="4">#REF!</definedName>
    <definedName name="屋頂爬梯_9m" localSheetId="3">#REF!</definedName>
    <definedName name="屋頂爬梯_9m">#REF!</definedName>
    <definedName name="建物傾斜計" localSheetId="4">#REF!</definedName>
    <definedName name="建物傾斜計" localSheetId="3">#REF!</definedName>
    <definedName name="建物傾斜計">#REF!</definedName>
    <definedName name="建築工程放樣" localSheetId="4">#REF!</definedName>
    <definedName name="建築工程放樣" localSheetId="3">#REF!</definedName>
    <definedName name="建築工程放樣">#REF!</definedName>
    <definedName name="挖土方_近運處理" localSheetId="4">#REF!</definedName>
    <definedName name="挖土方_近運處理" localSheetId="3">#REF!</definedName>
    <definedName name="挖土方_近運處理">#REF!</definedName>
    <definedName name="挖土方_遠運處理" localSheetId="4">#REF!</definedName>
    <definedName name="挖土方_遠運處理" localSheetId="3">#REF!</definedName>
    <definedName name="挖土方_遠運處理">#REF!</definedName>
    <definedName name="挖方及廢方處理" localSheetId="4">#REF!</definedName>
    <definedName name="挖方及廢方處理" localSheetId="3">#REF!</definedName>
    <definedName name="挖方及廢方處理">#REF!</definedName>
    <definedName name="挖基_人工_及廢方處理" localSheetId="4">#REF!</definedName>
    <definedName name="挖基_人工_及廢方處理" localSheetId="3">#REF!</definedName>
    <definedName name="挖基_人工_及廢方處理">#REF!</definedName>
    <definedName name="施工便梯" localSheetId="4">#REF!</definedName>
    <definedName name="施工便梯" localSheetId="3">#REF!</definedName>
    <definedName name="施工便梯">#REF!</definedName>
    <definedName name="施工前整地" localSheetId="4">#REF!</definedName>
    <definedName name="施工前整地" localSheetId="3">#REF!</definedName>
    <definedName name="施工前整地">#REF!</definedName>
    <definedName name="施工構台_20_26M" localSheetId="4">#REF!</definedName>
    <definedName name="施工構台_20_26M" localSheetId="3">#REF!</definedName>
    <definedName name="施工構台_20_26M">#REF!</definedName>
    <definedName name="施工縫止水帶" localSheetId="4">#REF!</definedName>
    <definedName name="施工縫止水帶" localSheetId="3">#REF!</definedName>
    <definedName name="施工縫止水帶">#REF!</definedName>
    <definedName name="施工欄杆" localSheetId="4">#REF!</definedName>
    <definedName name="施工欄杆" localSheetId="3">#REF!</definedName>
    <definedName name="施工欄杆">#REF!</definedName>
    <definedName name="施作列號" localSheetId="4">#REF!</definedName>
    <definedName name="施作列號" localSheetId="3">#REF!</definedName>
    <definedName name="施作列號">[37]數量!$A$3:$C$32</definedName>
    <definedName name="柱基不收縮水泥" localSheetId="4">#REF!</definedName>
    <definedName name="柱基不收縮水泥" localSheetId="3">#REF!</definedName>
    <definedName name="柱基不收縮水泥">#REF!</definedName>
    <definedName name="洋玉蘭_φ8cm_高3_3.5m" localSheetId="4">#REF!</definedName>
    <definedName name="洋玉蘭_φ8cm_高3_3.5m" localSheetId="3">#REF!</definedName>
    <definedName name="洋玉蘭_φ8cm_高3_3.5m">#REF!</definedName>
    <definedName name="洗卵石地磚30_30" localSheetId="4">[29]工料單價!$B$5</definedName>
    <definedName name="洗卵石地磚30_30" localSheetId="3">[29]工料單價!$B$5</definedName>
    <definedName name="洗卵石地磚30_30">[30]工料單價!$B$5</definedName>
    <definedName name="活動隔音牆" localSheetId="4">#REF!</definedName>
    <definedName name="活動隔音牆" localSheetId="3">#REF!</definedName>
    <definedName name="活動隔音牆">#REF!</definedName>
    <definedName name="流蘇_φ3_5cm_高2.5_3m" localSheetId="4">#REF!</definedName>
    <definedName name="流蘇_φ3_5cm_高2.5_3m" localSheetId="3">#REF!</definedName>
    <definedName name="流蘇_φ3_5cm_高2.5_3m">#REF!</definedName>
    <definedName name="玻璃安裝工資" localSheetId="4">#REF!</definedName>
    <definedName name="玻璃安裝工資" localSheetId="3">#REF!</definedName>
    <definedName name="玻璃安裝工資">#REF!</definedName>
    <definedName name="玻璃磚">[5]工料單價!$B$15</definedName>
    <definedName name="玻璃磚泥水五金另料" localSheetId="4">#REF!</definedName>
    <definedName name="玻璃磚泥水五金另料" localSheetId="3">#REF!</definedName>
    <definedName name="玻璃磚泥水五金另料">#REF!</definedName>
    <definedName name="玻璃欄杆扶手_含12mm強化玻璃11才" localSheetId="4">#REF!</definedName>
    <definedName name="玻璃欄杆扶手_含12mm強化玻璃11才" localSheetId="3">#REF!</definedName>
    <definedName name="玻璃欄杆扶手_含12mm強化玻璃11才">#REF!</definedName>
    <definedName name="玻璃纖維補強層" localSheetId="4">#REF!</definedName>
    <definedName name="玻璃纖維補強層" localSheetId="3">#REF!</definedName>
    <definedName name="玻璃纖維補強層">#REF!</definedName>
    <definedName name="砂">[31]工料單價!$F$3</definedName>
    <definedName name="砂回填" localSheetId="4">#REF!</definedName>
    <definedName name="砂回填" localSheetId="3">#REF!</definedName>
    <definedName name="砂回填">#REF!</definedName>
    <definedName name="砌1_2B磚工資">[22]工料單價!$J$3</definedName>
    <definedName name="砌1B磚工資">[5]工料單價!$J$2</definedName>
    <definedName name="砌空心磚">[5]單價分析!$F$28</definedName>
    <definedName name="砌空心磚工資" localSheetId="4">#REF!</definedName>
    <definedName name="砌空心磚工資" localSheetId="3">#REF!</definedName>
    <definedName name="砌空心磚工資">#REF!</definedName>
    <definedName name="砌玻璃磚工資" localSheetId="4">#REF!</definedName>
    <definedName name="砌玻璃磚工資" localSheetId="3">#REF!</definedName>
    <definedName name="砌玻璃磚工資">#REF!</definedName>
    <definedName name="砌磚工資">[22]工料單價!$J$4</definedName>
    <definedName name="砌壓簷磚工資" localSheetId="4">#REF!</definedName>
    <definedName name="砌壓簷磚工資" localSheetId="3">#REF!</definedName>
    <definedName name="砌壓簷磚工資">#REF!</definedName>
    <definedName name="紅木地坪" localSheetId="4">#REF!</definedName>
    <definedName name="紅木地坪" localSheetId="3">#REF!</definedName>
    <definedName name="紅木地坪">#REF!</definedName>
    <definedName name="紅木地坪油漆" localSheetId="4">#REF!</definedName>
    <definedName name="紅木地坪油漆" localSheetId="3">#REF!</definedName>
    <definedName name="紅木地坪油漆">#REF!</definedName>
    <definedName name="紅磚">[22]工料單價!$B$16</definedName>
    <definedName name="耐酸鹼防水層" localSheetId="4">#REF!</definedName>
    <definedName name="耐酸鹼防水層" localSheetId="3">#REF!</definedName>
    <definedName name="耐酸鹼防水層">#REF!</definedName>
    <definedName name="耐震" localSheetId="3">#REF!</definedName>
    <definedName name="耐震">#REF!</definedName>
    <definedName name="苦楝_φ8cm_高3_3.5m" localSheetId="4">#REF!</definedName>
    <definedName name="苦楝_φ8cm_高3_3.5m" localSheetId="3">#REF!</definedName>
    <definedName name="苦楝_φ8cm_高3_3.5m">#REF!</definedName>
    <definedName name="茄苳移植φ_10cm以下" localSheetId="4">#REF!</definedName>
    <definedName name="茄苳移植φ_10cm以下" localSheetId="3">#REF!</definedName>
    <definedName name="茄苳移植φ_10cm以下">#REF!</definedName>
    <definedName name="風險費">[33]Data!$C$3</definedName>
    <definedName name="香蒲_高0.15_0.2m" localSheetId="4">#REF!</definedName>
    <definedName name="香蒲_高0.15_0.2m" localSheetId="3">#REF!</definedName>
    <definedName name="香蒲_高0.15_0.2m">#REF!</definedName>
    <definedName name="差額保證金">[33]Data!$B$26</definedName>
    <definedName name="料單製作" localSheetId="4">#REF!</definedName>
    <definedName name="料單製作" localSheetId="3">#REF!</definedName>
    <definedName name="料單製作">#REF!</definedName>
    <definedName name="格柵樓版" localSheetId="4">#REF!</definedName>
    <definedName name="格柵樓版" localSheetId="3">#REF!</definedName>
    <definedName name="格柵樓版">#REF!</definedName>
    <definedName name="桂花_高0.4_0.5m" localSheetId="4">#REF!</definedName>
    <definedName name="桂花_高0.4_0.5m" localSheetId="3">#REF!</definedName>
    <definedName name="桂花_高0.4_0.5m">#REF!</definedName>
    <definedName name="氧氣乙炔" localSheetId="4">#REF!</definedName>
    <definedName name="氧氣乙炔" localSheetId="3">#REF!</definedName>
    <definedName name="氧氣乙炔">#REF!</definedName>
    <definedName name="氧氣乙炔_外勞__地上層">[6]工料單價!$J$71</definedName>
    <definedName name="氧氣乙炔_自辦__地下室">[6]工料單價!$J$64</definedName>
    <definedName name="浮動地板工資" localSheetId="4">#REF!</definedName>
    <definedName name="浮動地板工資" localSheetId="3">#REF!</definedName>
    <definedName name="浮動地板工資">#REF!</definedName>
    <definedName name="海菜粉">[31]工料單價!$F$4</definedName>
    <definedName name="涉水池噴泉系統" localSheetId="4">#REF!</definedName>
    <definedName name="涉水池噴泉系統" localSheetId="3">#REF!</definedName>
    <definedName name="涉水池噴泉系統">#REF!</definedName>
    <definedName name="琉璃_藍綠色_物料_金字塔" localSheetId="4">#REF!</definedName>
    <definedName name="琉璃_藍綠色_物料_金字塔" localSheetId="3">#REF!</definedName>
    <definedName name="琉璃_藍綠色_物料_金字塔">#REF!</definedName>
    <definedName name="紋面石英磚14.8_14.8" localSheetId="4">#REF!</definedName>
    <definedName name="紋面石英磚14.8_14.8" localSheetId="3">#REF!</definedName>
    <definedName name="紋面石英磚14.8_14.8">#REF!</definedName>
    <definedName name="純岩棉半明架天花" localSheetId="4">#REF!</definedName>
    <definedName name="純岩棉半明架天花" localSheetId="3">#REF!</definedName>
    <definedName name="純岩棉半明架天花">#REF!</definedName>
    <definedName name="級配回填夯實" localSheetId="4">#REF!</definedName>
    <definedName name="級配回填夯實" localSheetId="3">#REF!</definedName>
    <definedName name="級配回填夯實">#REF!</definedName>
    <definedName name="素面石英磚30_30" localSheetId="4">#REF!</definedName>
    <definedName name="素面石英磚30_30" localSheetId="3">#REF!</definedName>
    <definedName name="素面石英磚30_30">#REF!</definedName>
    <definedName name="茶梅_高0.4_0.5m" localSheetId="4">#REF!</definedName>
    <definedName name="茶梅_高0.4_0.5m" localSheetId="3">#REF!</definedName>
    <definedName name="茶梅_高0.4_0.5m">#REF!</definedName>
    <definedName name="配比" localSheetId="4">#REF!</definedName>
    <definedName name="配比" localSheetId="3">#REF!</definedName>
    <definedName name="配比">#REF!</definedName>
    <definedName name="馬賽克">[31]工料單價!$B$17</definedName>
    <definedName name="高拉力螺栓" localSheetId="4">#REF!</definedName>
    <definedName name="高拉力螺栓" localSheetId="3">#REF!</definedName>
    <definedName name="高拉力螺栓">#REF!</definedName>
    <definedName name="高架地板_連工帶料">[31]工料單價!$J$49</definedName>
    <definedName name="高架地板工資" localSheetId="4">#REF!</definedName>
    <definedName name="高架地板工資" localSheetId="3">#REF!</definedName>
    <definedName name="高架地板工資">#REF!</definedName>
    <definedName name="高架地板材料" localSheetId="4">#REF!</definedName>
    <definedName name="高架地板材料" localSheetId="3">#REF!</definedName>
    <definedName name="高架地板材料">#REF!</definedName>
    <definedName name="高腳落水罩" localSheetId="4">#REF!</definedName>
    <definedName name="高腳落水罩" localSheetId="3">#REF!</definedName>
    <definedName name="高腳落水罩">#REF!</definedName>
    <definedName name="高壓連鎖式地磚20_10_6物料" localSheetId="4">#REF!</definedName>
    <definedName name="高壓連鎖式地磚20_10_6物料" localSheetId="3">#REF!</definedName>
    <definedName name="高壓連鎖式地磚20_10_6物料">#REF!</definedName>
    <definedName name="高壓連鎖式地磚20_10_8cm物料" localSheetId="4">#REF!</definedName>
    <definedName name="高壓連鎖式地磚20_10_8cm物料" localSheetId="3">#REF!</definedName>
    <definedName name="高壓連鎖式地磚20_10_8cm物料">#REF!</definedName>
    <definedName name="假設工程費用明細表" localSheetId="4">#REF!</definedName>
    <definedName name="假設工程費用明細表" localSheetId="3">#REF!</definedName>
    <definedName name="假設工程費用明細表">#REF!</definedName>
    <definedName name="停車場防撞柱桿" localSheetId="4">#REF!</definedName>
    <definedName name="停車場防撞柱桿" localSheetId="3">#REF!</definedName>
    <definedName name="停車場防撞柱桿">#REF!</definedName>
    <definedName name="側端扶手" localSheetId="4">#REF!</definedName>
    <definedName name="側端扶手" localSheetId="3">#REF!</definedName>
    <definedName name="側端扶手">#REF!</definedName>
    <definedName name="剪力釘" localSheetId="4">#REF!</definedName>
    <definedName name="剪力釘" localSheetId="3">#REF!</definedName>
    <definedName name="剪力釘">#REF!</definedName>
    <definedName name="基礎模板小搬運" localSheetId="4">#REF!</definedName>
    <definedName name="基礎模板小搬運" localSheetId="3">#REF!</definedName>
    <definedName name="基礎模板小搬運">#REF!</definedName>
    <definedName name="基礎模板製作" localSheetId="4">#REF!</definedName>
    <definedName name="基礎模板製作" localSheetId="3">#REF!</definedName>
    <definedName name="基礎模板製作">#REF!</definedName>
    <definedName name="基礎銲接_含零件" localSheetId="4">#REF!</definedName>
    <definedName name="基礎銲接_含零件" localSheetId="3">#REF!</definedName>
    <definedName name="基礎銲接_含零件">#REF!</definedName>
    <definedName name="強化透明玻璃6mm" localSheetId="4">#REF!</definedName>
    <definedName name="強化透明玻璃6mm" localSheetId="3">#REF!</definedName>
    <definedName name="強化透明玻璃6mm">#REF!</definedName>
    <definedName name="強化透明複層玻璃8_12_6mm" localSheetId="4">#REF!</definedName>
    <definedName name="強化透明複層玻璃8_12_6mm" localSheetId="3">#REF!</definedName>
    <definedName name="強化透明複層玻璃8_12_6mm">#REF!</definedName>
    <definedName name="排水版T_5CM" localSheetId="4">#REF!</definedName>
    <definedName name="排水版T_5CM" localSheetId="3">#REF!</definedName>
    <definedName name="排水版T_5CM">#REF!</definedName>
    <definedName name="排水溝化妝蓋板_花崗石面" localSheetId="4">#REF!</definedName>
    <definedName name="排水溝化妝蓋板_花崗石面" localSheetId="3">#REF!</definedName>
    <definedName name="排水溝化妝蓋板_花崗石面">#REF!</definedName>
    <definedName name="排水溝化妝蓋板_連鎖磚面" localSheetId="4">#REF!</definedName>
    <definedName name="排水溝化妝蓋板_連鎖磚面" localSheetId="3">#REF!</definedName>
    <definedName name="排水溝化妝蓋板_連鎖磚面">#REF!</definedName>
    <definedName name="排水管落水頭" localSheetId="4">#REF!</definedName>
    <definedName name="排水管落水頭" localSheetId="3">#REF!</definedName>
    <definedName name="排水管落水頭">#REF!</definedName>
    <definedName name="排卵石工資" localSheetId="4">#REF!</definedName>
    <definedName name="排卵石工資" localSheetId="3">#REF!</definedName>
    <definedName name="排卵石工資">#REF!</definedName>
    <definedName name="排緣石工資" localSheetId="4">#REF!</definedName>
    <definedName name="排緣石工資" localSheetId="3">#REF!</definedName>
    <definedName name="排緣石工資">#REF!</definedName>
    <definedName name="採光天井工程" localSheetId="4">#REF!</definedName>
    <definedName name="採光天井工程" localSheetId="3">#REF!</definedName>
    <definedName name="採光天井工程">#REF!</definedName>
    <definedName name="接合鐵件" localSheetId="4">#REF!</definedName>
    <definedName name="接合鐵件" localSheetId="3">#REF!</definedName>
    <definedName name="接合鐵件">#REF!</definedName>
    <definedName name="接合鐵件φ50mm_L_40cm" localSheetId="4">#REF!</definedName>
    <definedName name="接合鐵件φ50mm_L_40cm" localSheetId="3">#REF!</definedName>
    <definedName name="接合鐵件φ50mm_L_40cm">#REF!</definedName>
    <definedName name="教練費_外勞__地上層">[6]工料單價!$J$69</definedName>
    <definedName name="教練費_自辦__地下室">[6]工料單價!$J$62</definedName>
    <definedName name="斜坡排架" localSheetId="4">#REF!</definedName>
    <definedName name="斜坡排架" localSheetId="3">#REF!</definedName>
    <definedName name="斜坡排架">#REF!</definedName>
    <definedName name="棄土證明" localSheetId="4">#REF!</definedName>
    <definedName name="棄土證明" localSheetId="3">#REF!</definedName>
    <definedName name="棄土證明">#REF!</definedName>
    <definedName name="淋浴間_5mm厚強化玻璃" localSheetId="4">#REF!</definedName>
    <definedName name="淋浴間_5mm厚強化玻璃" localSheetId="3">#REF!</definedName>
    <definedName name="淋浴間_5mm厚強化玻璃">#REF!</definedName>
    <definedName name="混凝土140">[4]混凝土配比!$P$17</definedName>
    <definedName name="混凝土176">[4]混凝土配比!$P$18</definedName>
    <definedName name="混凝土210">[4]混凝土配比!$P$19</definedName>
    <definedName name="混凝土240">[4]混凝土配比!$P$20</definedName>
    <definedName name="混凝土240水">[4]混凝土配比!$P$21</definedName>
    <definedName name="混凝土240早">[4]混凝土配比!$P$22</definedName>
    <definedName name="混凝土240自">[4]混凝土配比!$P$26</definedName>
    <definedName name="混凝土280">[4]混凝土配比!$P$23</definedName>
    <definedName name="混凝土280細">[4]混凝土配比!$P$24</definedName>
    <definedName name="混凝土350">[4]混凝土配比!$P$25</definedName>
    <definedName name="混凝土80">[4]混凝土配比!$P$16</definedName>
    <definedName name="混凝土壓送整平">[22]工料單價!$J$51</definedName>
    <definedName name="混凝土壓送整平_空心磚空隙灌注3000PSI" localSheetId="4">#REF!</definedName>
    <definedName name="混凝土壓送整平_空心磚空隙灌注3000PSI" localSheetId="3">#REF!</definedName>
    <definedName name="混凝土壓送整平_空心磚空隙灌注3000PSI">#REF!</definedName>
    <definedName name="混凝土壓送整平_空心磚填縫2500PSI" localSheetId="4">#REF!</definedName>
    <definedName name="混凝土壓送整平_空心磚填縫2500PSI" localSheetId="3">#REF!</definedName>
    <definedName name="混凝土壓送整平_空心磚填縫2500PSI">#REF!</definedName>
    <definedName name="清水模板" localSheetId="4">#REF!</definedName>
    <definedName name="清水模板" localSheetId="3">#REF!</definedName>
    <definedName name="清水模板">#REF!</definedName>
    <definedName name="清水模板材料" localSheetId="4">#REF!</definedName>
    <definedName name="清水模板材料" localSheetId="3">#REF!</definedName>
    <definedName name="清水模板材料">#REF!</definedName>
    <definedName name="焊材費氧氣_乙焊" localSheetId="4">#REF!</definedName>
    <definedName name="焊材費氧氣_乙焊" localSheetId="3">#REF!</definedName>
    <definedName name="焊材費氧氣_乙焊">#REF!</definedName>
    <definedName name="現地結構物拆除工程" localSheetId="4">#REF!</definedName>
    <definedName name="現地結構物拆除工程" localSheetId="3">#REF!</definedName>
    <definedName name="現地結構物拆除工程">#REF!</definedName>
    <definedName name="現場小型鋼模小搬運" localSheetId="4">#REF!</definedName>
    <definedName name="現場小型鋼模小搬運" localSheetId="3">#REF!</definedName>
    <definedName name="現場小型鋼模小搬運">#REF!</definedName>
    <definedName name="現場小型鋼模吊運" localSheetId="4">#REF!</definedName>
    <definedName name="現場小型鋼模吊運" localSheetId="3">#REF!</definedName>
    <definedName name="現場小型鋼模吊運">#REF!</definedName>
    <definedName name="現場小型鋼模製作" localSheetId="4">#REF!</definedName>
    <definedName name="現場小型鋼模製作" localSheetId="3">#REF!</definedName>
    <definedName name="現場小型鋼模製作">#REF!</definedName>
    <definedName name="球形羅漢松_高1.2_1.5m" localSheetId="4">#REF!</definedName>
    <definedName name="球形羅漢松_高1.2_1.5m" localSheetId="3">#REF!</definedName>
    <definedName name="球形羅漢松_高1.2_1.5m">#REF!</definedName>
    <definedName name="瓷質馬賽克" localSheetId="4">[29]工料單價!$B$11</definedName>
    <definedName name="瓷質馬賽克" localSheetId="3">[29]工料單價!$B$11</definedName>
    <definedName name="瓷質馬賽克">[30]工料單價!$B$11</definedName>
    <definedName name="第一層水平支撐" localSheetId="4">#REF!</definedName>
    <definedName name="第一層水平支撐" localSheetId="3">#REF!</definedName>
    <definedName name="第一層水平支撐">#REF!</definedName>
    <definedName name="第一層轉換橫檔350_350_12_19" localSheetId="4">#REF!</definedName>
    <definedName name="第一層轉換橫檔350_350_12_19" localSheetId="3">#REF!</definedName>
    <definedName name="第一層轉換橫檔350_350_12_19">#REF!</definedName>
    <definedName name="第二層水平支撐" localSheetId="4">#REF!</definedName>
    <definedName name="第二層水平支撐" localSheetId="3">#REF!</definedName>
    <definedName name="第二層水平支撐">#REF!</definedName>
    <definedName name="第二層轉換橫檔350_350_12_19" localSheetId="4">#REF!</definedName>
    <definedName name="第二層轉換橫檔350_350_12_19" localSheetId="3">#REF!</definedName>
    <definedName name="第二層轉換橫檔350_350_12_19">#REF!</definedName>
    <definedName name="第三層水平支撐" localSheetId="4">#REF!</definedName>
    <definedName name="第三層水平支撐" localSheetId="3">#REF!</definedName>
    <definedName name="第三層水平支撐">#REF!</definedName>
    <definedName name="第三層轉換橫檔400_400_13_21" localSheetId="4">#REF!</definedName>
    <definedName name="第三層轉換橫檔400_400_13_21" localSheetId="3">#REF!</definedName>
    <definedName name="第三層轉換橫檔400_400_13_21">#REF!</definedName>
    <definedName name="第四層水平支撐" localSheetId="4">#REF!</definedName>
    <definedName name="第四層水平支撐" localSheetId="3">#REF!</definedName>
    <definedName name="第四層水平支撐">#REF!</definedName>
    <definedName name="第四層轉換橫檔400_400_13_21" localSheetId="4">#REF!</definedName>
    <definedName name="第四層轉換橫檔400_400_13_21" localSheetId="3">#REF!</definedName>
    <definedName name="第四層轉換橫檔400_400_13_21">#REF!</definedName>
    <definedName name="累計估驗">[38]差異分析明細!$AG$1:$AG$752</definedName>
    <definedName name="組拆模工資" localSheetId="4">#REF!</definedName>
    <definedName name="組拆模工資" localSheetId="3">#REF!</definedName>
    <definedName name="組拆模工資">#REF!</definedName>
    <definedName name="軟木佈告板牆面t_2cm" localSheetId="4">#REF!</definedName>
    <definedName name="軟木佈告板牆面t_2cm" localSheetId="3">#REF!</definedName>
    <definedName name="軟木佈告板牆面t_2cm">#REF!</definedName>
    <definedName name="透心石英磚40_40" localSheetId="4">#REF!</definedName>
    <definedName name="透心石英磚40_40" localSheetId="3">#REF!</definedName>
    <definedName name="透心石英磚40_40">#REF!</definedName>
    <definedName name="透心塑膠地磚40_40TH_3MM_工料" localSheetId="4">[29]工料單價!$J$20</definedName>
    <definedName name="透心塑膠地磚40_40TH_3MM_工料" localSheetId="3">[29]工料單價!$J$20</definedName>
    <definedName name="透心塑膠地磚40_40TH_3MM_工料">[30]工料單價!$J$20</definedName>
    <definedName name="連鎖磚20_10_6物料" localSheetId="4">#REF!</definedName>
    <definedName name="連鎖磚20_10_6物料" localSheetId="3">#REF!</definedName>
    <definedName name="連鎖磚20_10_6物料">#REF!</definedName>
    <definedName name="連鎖磚細砂" localSheetId="4">#REF!</definedName>
    <definedName name="連鎖磚細砂" localSheetId="3">#REF!</definedName>
    <definedName name="連鎖磚細砂">#REF!</definedName>
    <definedName name="野薑花_高0.15_0.2m" localSheetId="4">#REF!</definedName>
    <definedName name="野薑花_高0.15_0.2m" localSheetId="3">#REF!</definedName>
    <definedName name="野薑花_高0.15_0.2m">#REF!</definedName>
    <definedName name="陰井" localSheetId="4">#REF!</definedName>
    <definedName name="陰井" localSheetId="3">#REF!</definedName>
    <definedName name="陰井">#REF!</definedName>
    <definedName name="單元吊裝工料" localSheetId="4">#REF!</definedName>
    <definedName name="單元吊裝工料" localSheetId="3">#REF!</definedName>
    <definedName name="單元吊裝工料">#REF!</definedName>
    <definedName name="單層" localSheetId="4">#REF!</definedName>
    <definedName name="單層" localSheetId="3">#REF!</definedName>
    <definedName name="單層">#REF!</definedName>
    <definedName name="圍令被填1_3水泥砂漿" localSheetId="4">#REF!</definedName>
    <definedName name="圍令被填1_3水泥砂漿" localSheetId="3">#REF!</definedName>
    <definedName name="圍令被填1_3水泥砂漿">#REF!</definedName>
    <definedName name="報銷成本金額">[39]報銷明細!$F:$F</definedName>
    <definedName name="報銷預算編號">[39]報銷明細!$H:$H</definedName>
    <definedName name="廁所天板" localSheetId="4">#REF!</definedName>
    <definedName name="廁所天板" localSheetId="3">#REF!</definedName>
    <definedName name="廁所天板">#REF!</definedName>
    <definedName name="廁所隔間" localSheetId="4">#REF!</definedName>
    <definedName name="廁所隔間" localSheetId="3">#REF!</definedName>
    <definedName name="廁所隔間">#REF!</definedName>
    <definedName name="廊道不銹鋼欄杆" localSheetId="4">#REF!</definedName>
    <definedName name="廊道不銹鋼欄杆" localSheetId="3">#REF!</definedName>
    <definedName name="廊道不銹鋼欄杆">#REF!</definedName>
    <definedName name="普通模板" localSheetId="4">#REF!</definedName>
    <definedName name="普通模板" localSheetId="3">#REF!</definedName>
    <definedName name="普通模板">#REF!</definedName>
    <definedName name="普通模版" localSheetId="4">#REF!</definedName>
    <definedName name="普通模版" localSheetId="3">#REF!</definedName>
    <definedName name="普通模版">#REF!</definedName>
    <definedName name="植2_φ卵石" localSheetId="4">#REF!</definedName>
    <definedName name="植2_φ卵石" localSheetId="3">#REF!</definedName>
    <definedName name="植2_φ卵石">#REF!</definedName>
    <definedName name="植栽防護網" localSheetId="4">#REF!</definedName>
    <definedName name="植栽防護網" localSheetId="3">#REF!</definedName>
    <definedName name="植栽防護網">#REF!</definedName>
    <definedName name="無釉透心面磚4.5_14.5">[6]工料單價!$B$5</definedName>
    <definedName name="無縫接合" localSheetId="4">#REF!</definedName>
    <definedName name="無縫接合" localSheetId="3">#REF!</definedName>
    <definedName name="無縫接合">#REF!</definedName>
    <definedName name="發包複價">[38]差異分析明細!$AH$1:$AH$752</definedName>
    <definedName name="稅後金額" localSheetId="4">[40]SHEET1!#REF!</definedName>
    <definedName name="稅後金額" localSheetId="3">[40]SHEET1!#REF!</definedName>
    <definedName name="稅後金額">[40]SHEET1!#REF!</definedName>
    <definedName name="筆筒樹_φ5cm_高3_3.5m" localSheetId="4">#REF!</definedName>
    <definedName name="筆筒樹_φ5cm_高3_3.5m" localSheetId="3">#REF!</definedName>
    <definedName name="筆筒樹_φ5cm_高3_3.5m">#REF!</definedName>
    <definedName name="紫花馬纓丹_高0.15_0.2m" localSheetId="4">#REF!</definedName>
    <definedName name="紫花馬纓丹_高0.15_0.2m" localSheetId="3">#REF!</definedName>
    <definedName name="紫花馬纓丹_高0.15_0.2m">#REF!</definedName>
    <definedName name="結構模板_合板_小搬運" localSheetId="4">#REF!</definedName>
    <definedName name="結構模板_合板_小搬運" localSheetId="3">#REF!</definedName>
    <definedName name="結構模板_合板_小搬運">#REF!</definedName>
    <definedName name="結構模板_合板_製作" localSheetId="4">#REF!</definedName>
    <definedName name="結構模板_合板_製作" localSheetId="3">#REF!</definedName>
    <definedName name="結構模板_合板_製作">#REF!</definedName>
    <definedName name="腎蕨_高0.15_0.2m" localSheetId="4">#REF!</definedName>
    <definedName name="腎蕨_高0.15_0.2m" localSheetId="3">#REF!</definedName>
    <definedName name="腎蕨_高0.15_0.2m">#REF!</definedName>
    <definedName name="貸款利率">[33]Data!$B$10</definedName>
    <definedName name="進" localSheetId="4">[41]單價2!#REF!</definedName>
    <definedName name="進" localSheetId="3">[41]單價2!#REF!</definedName>
    <definedName name="進">[41]單價2!#REF!</definedName>
    <definedName name="間接成本">[33]Data!$C$4</definedName>
    <definedName name="階面花崗石50_30_5cm" localSheetId="4">#REF!</definedName>
    <definedName name="階面花崗石50_30_5cm" localSheetId="3">#REF!</definedName>
    <definedName name="階面花崗石50_30_5cm">#REF!</definedName>
    <definedName name="階高花崗石50_15_5cm" localSheetId="4">#REF!</definedName>
    <definedName name="階高花崗石50_15_5cm" localSheetId="3">#REF!</definedName>
    <definedName name="階高花崗石50_15_5cm">#REF!</definedName>
    <definedName name="集水坑不銹鋼爬梯" localSheetId="4">#REF!</definedName>
    <definedName name="集水坑不銹鋼爬梯" localSheetId="3">#REF!</definedName>
    <definedName name="集水坑不銹鋼爬梯">#REF!</definedName>
    <definedName name="黃脈刺桐移植φ_10cm以下" localSheetId="4">#REF!</definedName>
    <definedName name="黃脈刺桐移植φ_10cm以下" localSheetId="3">#REF!</definedName>
    <definedName name="黃脈刺桐移植φ_10cm以下">#REF!</definedName>
    <definedName name="黃梔_高0.4_0.5m" localSheetId="4">#REF!</definedName>
    <definedName name="黃梔_高0.4_0.5m" localSheetId="3">#REF!</definedName>
    <definedName name="黃梔_高0.4_0.5m">#REF!</definedName>
    <definedName name="圓形釉面瓷質馬賽克" localSheetId="4">[29]工料單價!$B$12</definedName>
    <definedName name="圓形釉面瓷質馬賽克" localSheetId="3">[29]工料單價!$B$12</definedName>
    <definedName name="圓形釉面瓷質馬賽克">[30]工料單價!$B$12</definedName>
    <definedName name="圓弧玻璃隔屏_8_8膠合玻璃_1.6_1.4m" localSheetId="4">#REF!</definedName>
    <definedName name="圓弧玻璃隔屏_8_8膠合玻璃_1.6_1.4m" localSheetId="3">#REF!</definedName>
    <definedName name="圓弧玻璃隔屏_8_8膠合玻璃_1.6_1.4m">#REF!</definedName>
    <definedName name="塔吊" localSheetId="4">#REF!</definedName>
    <definedName name="塔吊" localSheetId="3">#REF!</definedName>
    <definedName name="塔吊">#REF!</definedName>
    <definedName name="塔吊移轉運費" localSheetId="4">#REF!</definedName>
    <definedName name="塔吊移轉運費" localSheetId="3">#REF!</definedName>
    <definedName name="塔吊移轉運費">#REF!</definedName>
    <definedName name="填土方及夯實" localSheetId="4">#REF!</definedName>
    <definedName name="填土方及夯實" localSheetId="3">#REF!</definedName>
    <definedName name="填土方及夯實">#REF!</definedName>
    <definedName name="填縫劑">[31]工料單價!$F$10</definedName>
    <definedName name="新" localSheetId="4">[24]單價2!#REF!</definedName>
    <definedName name="新" localSheetId="3">[24]單價2!#REF!</definedName>
    <definedName name="新">[24]單價2!#REF!</definedName>
    <definedName name="新進度表" localSheetId="4">[24]單價2!#REF!</definedName>
    <definedName name="新進度表" localSheetId="3">[24]單價2!#REF!</definedName>
    <definedName name="新進度表">[24]單價2!#REF!</definedName>
    <definedName name="暗架岩棉吸音天花" localSheetId="4">#REF!</definedName>
    <definedName name="暗架岩棉吸音天花" localSheetId="3">#REF!</definedName>
    <definedName name="暗架岩棉吸音天花">#REF!</definedName>
    <definedName name="楓香_φ8cm_高3.1_3.5m" localSheetId="4">#REF!</definedName>
    <definedName name="楓香_φ8cm_高3.1_3.5m" localSheetId="3">#REF!</definedName>
    <definedName name="楓香_φ8cm_高3.1_3.5m">#REF!</definedName>
    <definedName name="當日數量" localSheetId="4">#REF!</definedName>
    <definedName name="當日數量" localSheetId="3">#REF!</definedName>
    <definedName name="當日數量">#REF!</definedName>
    <definedName name="矮仙丹_高0.4_0.5m" localSheetId="4">#REF!</definedName>
    <definedName name="矮仙丹_高0.4_0.5m" localSheetId="3">#REF!</definedName>
    <definedName name="矮仙丹_高0.4_0.5m">#REF!</definedName>
    <definedName name="碎石級配" localSheetId="4">#REF!</definedName>
    <definedName name="碎石級配" localSheetId="3">#REF!</definedName>
    <definedName name="碎石級配">#REF!</definedName>
    <definedName name="綁紮工資" localSheetId="4">#REF!</definedName>
    <definedName name="綁紮工資" localSheetId="3">#REF!</definedName>
    <definedName name="綁紮工資">#REF!</definedName>
    <definedName name="落羽松移植φ_10cm以下" localSheetId="4">#REF!</definedName>
    <definedName name="落羽松移植φ_10cm以下" localSheetId="3">#REF!</definedName>
    <definedName name="落羽松移植φ_10cm以下">#REF!</definedName>
    <definedName name="落瀑廣場系統" localSheetId="4">#REF!</definedName>
    <definedName name="落瀑廣場系統" localSheetId="3">#REF!</definedName>
    <definedName name="落瀑廣場系統">#REF!</definedName>
    <definedName name="虞美人_高0.15_0.2m" localSheetId="4">#REF!</definedName>
    <definedName name="虞美人_高0.15_0.2m" localSheetId="3">#REF!</definedName>
    <definedName name="虞美人_高0.15_0.2m">#REF!</definedName>
    <definedName name="補">#REF!</definedName>
    <definedName name="跨長" localSheetId="4">#REF!</definedName>
    <definedName name="跨長" localSheetId="3">#REF!</definedName>
    <definedName name="跨長">#REF!</definedName>
    <definedName name="跨數" localSheetId="4">#REF!</definedName>
    <definedName name="跨數" localSheetId="3">#REF!</definedName>
    <definedName name="跨數">#REF!</definedName>
    <definedName name="隔柵板" localSheetId="4">#REF!</definedName>
    <definedName name="隔柵板" localSheetId="3">#REF!</definedName>
    <definedName name="隔柵板">#REF!</definedName>
    <definedName name="隔間牆輕鋼架" localSheetId="4">#REF!</definedName>
    <definedName name="隔間牆輕鋼架" localSheetId="3">#REF!</definedName>
    <definedName name="隔間牆輕鋼架">#REF!</definedName>
    <definedName name="隔熱棉" localSheetId="4">#REF!</definedName>
    <definedName name="隔熱棉" localSheetId="3">#REF!</definedName>
    <definedName name="隔熱棉">#REF!</definedName>
    <definedName name="電子式水壓計" localSheetId="4">#REF!</definedName>
    <definedName name="電子式水壓計" localSheetId="3">#REF!</definedName>
    <definedName name="電子式水壓計">#REF!</definedName>
    <definedName name="預付款">[33]Data!$B$9</definedName>
    <definedName name="預付款_第二期">[33]Data!$B$24</definedName>
    <definedName name="預付款償還率">[33]Data!$B$17</definedName>
    <definedName name="預付款償還結束_工程進度">[33]Data!$B$19</definedName>
    <definedName name="預付款償還開始_工程進度">[33]Data!$B$18</definedName>
    <definedName name="預估工程利益">[33]Data!$B$6</definedName>
    <definedName name="預算編號" localSheetId="4">#REF!</definedName>
    <definedName name="預算編號" localSheetId="3">#REF!</definedName>
    <definedName name="預算編號">#REF!</definedName>
    <definedName name="預算複價">[38]差異分析明細!$H$1:$H$752</definedName>
    <definedName name="預算總表" localSheetId="4">[42]各標進度!#REF!</definedName>
    <definedName name="預算總表" localSheetId="3">[42]各標進度!#REF!</definedName>
    <definedName name="預算總表">[42]各標進度!#REF!</definedName>
    <definedName name="預鑄水泥緣石工程" localSheetId="4">#REF!</definedName>
    <definedName name="預鑄水泥緣石工程" localSheetId="3">#REF!</definedName>
    <definedName name="預鑄水泥緣石工程">#REF!</definedName>
    <definedName name="預鑄混凝土石塊物料" localSheetId="4">#REF!</definedName>
    <definedName name="預鑄混凝土石塊物料" localSheetId="3">#REF!</definedName>
    <definedName name="預鑄混凝土石塊物料">#REF!</definedName>
    <definedName name="預鑄混凝土緣石物料" localSheetId="4">#REF!</definedName>
    <definedName name="預鑄混凝土緣石物料" localSheetId="3">#REF!</definedName>
    <definedName name="預鑄混凝土緣石物料">#REF!</definedName>
    <definedName name="圖形礦纖天花" localSheetId="4">#REF!</definedName>
    <definedName name="圖形礦纖天花" localSheetId="3">#REF!</definedName>
    <definedName name="圖形礦纖天花">#REF!</definedName>
    <definedName name="實木地板止滑條" localSheetId="4">#REF!</definedName>
    <definedName name="實木地板止滑條" localSheetId="3">#REF!</definedName>
    <definedName name="實木地板止滑條">#REF!</definedName>
    <definedName name="實際預定_查詢">[43]實際預定_查詢!$A$1:$K$16</definedName>
    <definedName name="實際預定_查詢_查詢_查詢">[43]實際預定_查詢_查詢_查詢!$A$1:$W$2</definedName>
    <definedName name="旗杆及固定配件" localSheetId="4">#REF!</definedName>
    <definedName name="旗杆及固定配件" localSheetId="3">#REF!</definedName>
    <definedName name="旗杆及固定配件">#REF!</definedName>
    <definedName name="榕樹移植φ_10_20cm" localSheetId="4">#REF!</definedName>
    <definedName name="榕樹移植φ_10_20cm" localSheetId="3">#REF!</definedName>
    <definedName name="榕樹移植φ_10_20cm">#REF!</definedName>
    <definedName name="榕樹移植φ_20_40cm" localSheetId="4">#REF!</definedName>
    <definedName name="榕樹移植φ_20_40cm" localSheetId="3">#REF!</definedName>
    <definedName name="榕樹移植φ_20_40cm">#REF!</definedName>
    <definedName name="榕樹移植φ_40_70cm" localSheetId="4">#REF!</definedName>
    <definedName name="榕樹移植φ_40_70cm" localSheetId="3">#REF!</definedName>
    <definedName name="榕樹移植φ_40_70cm">#REF!</definedName>
    <definedName name="滲入式水硬性防水膜" localSheetId="4">#REF!</definedName>
    <definedName name="滲入式水硬性防水膜" localSheetId="3">#REF!</definedName>
    <definedName name="滲入式水硬性防水膜">#REF!</definedName>
    <definedName name="熔接鋼絲網15_15_6物料" localSheetId="4">#REF!</definedName>
    <definedName name="熔接鋼絲網15_15_6物料" localSheetId="3">#REF!</definedName>
    <definedName name="熔接鋼絲網15_15_6物料">#REF!</definedName>
    <definedName name="熔接鋼絲網舖設工資" localSheetId="4">#REF!</definedName>
    <definedName name="熔接鋼絲網舖設工資" localSheetId="3">#REF!</definedName>
    <definedName name="熔接鋼絲網舖設工資">#REF!</definedName>
    <definedName name="磁磚10_10">[31]工料單價!$B$18</definedName>
    <definedName name="磁磚10_20" localSheetId="4">[29]工料單價!$B$14</definedName>
    <definedName name="磁磚10_20" localSheetId="3">[29]工料單價!$B$14</definedName>
    <definedName name="磁磚10_20">[30]工料單價!$B$14</definedName>
    <definedName name="磁磚15_15">[5]工料單價!$B$19</definedName>
    <definedName name="磁磚20_20">[22]工料單價!$B$20</definedName>
    <definedName name="磁磚20_20_止滑" localSheetId="4">#REF!</definedName>
    <definedName name="磁磚20_20_止滑" localSheetId="3">#REF!</definedName>
    <definedName name="磁磚20_20_止滑">#REF!</definedName>
    <definedName name="磁磚20_25">[31]工料單價!$B$21</definedName>
    <definedName name="磁磚20_30">[5]工料單價!$B$22</definedName>
    <definedName name="磁磚30_30">[5]工料單價!$B$23</definedName>
    <definedName name="磁磚40_40">[5]工料單價!$B$24</definedName>
    <definedName name="磁磚40_50" localSheetId="4">#REF!</definedName>
    <definedName name="磁磚40_50" localSheetId="3">#REF!</definedName>
    <definedName name="磁磚40_50">#REF!</definedName>
    <definedName name="端版" localSheetId="4">#REF!</definedName>
    <definedName name="端版" localSheetId="3">#REF!</definedName>
    <definedName name="端版">#REF!</definedName>
    <definedName name="維修玻璃門" localSheetId="4">#REF!</definedName>
    <definedName name="維修玻璃門" localSheetId="3">#REF!</definedName>
    <definedName name="維修玻璃門">#REF!</definedName>
    <definedName name="聚氯脂耐磨才_3mm" localSheetId="4">#REF!</definedName>
    <definedName name="聚氯脂耐磨才_3mm" localSheetId="3">#REF!</definedName>
    <definedName name="聚氯脂耐磨才_3mm">#REF!</definedName>
    <definedName name="蒲葵移植φ_20_40cm" localSheetId="4">#REF!</definedName>
    <definedName name="蒲葵移植φ_20_40cm" localSheetId="3">#REF!</definedName>
    <definedName name="蒲葵移植φ_20_40cm">#REF!</definedName>
    <definedName name="製造圖繪製費" localSheetId="4">#REF!</definedName>
    <definedName name="製造圖繪製費" localSheetId="3">#REF!</definedName>
    <definedName name="製造圖繪製費">#REF!</definedName>
    <definedName name="輕質混凝土物料" localSheetId="4">#REF!</definedName>
    <definedName name="輕質混凝土物料" localSheetId="3">#REF!</definedName>
    <definedName name="輕質混凝土物料">#REF!</definedName>
    <definedName name="輕質混凝土整平工資" localSheetId="4">#REF!</definedName>
    <definedName name="輕質混凝土整平工資" localSheetId="3">#REF!</definedName>
    <definedName name="輕質混凝土整平工資">#REF!</definedName>
    <definedName name="銀樺移植φ_10cm以下" localSheetId="4">#REF!</definedName>
    <definedName name="銀樺移植φ_10cm以下" localSheetId="3">#REF!</definedName>
    <definedName name="銀樺移植φ_10cm以下">#REF!</definedName>
    <definedName name="銅條">[5]工料單價!$F$12</definedName>
    <definedName name="鳶尾_高0.15_0.2m" localSheetId="4">#REF!</definedName>
    <definedName name="鳶尾_高0.15_0.2m" localSheetId="3">#REF!</definedName>
    <definedName name="鳶尾_高0.15_0.2m">#REF!</definedName>
    <definedName name="噴砂除銹油漆" localSheetId="4">#REF!</definedName>
    <definedName name="噴砂除銹油漆" localSheetId="3">#REF!</definedName>
    <definedName name="噴砂除銹油漆">#REF!</definedName>
    <definedName name="噴灌工程" localSheetId="4">#REF!</definedName>
    <definedName name="噴灌工程" localSheetId="3">#REF!</definedName>
    <definedName name="噴灌工程">#REF!</definedName>
    <definedName name="層間塞" localSheetId="4">#REF!</definedName>
    <definedName name="層間塞" localSheetId="3">#REF!</definedName>
    <definedName name="層間塞">#REF!</definedName>
    <definedName name="履約保證金">[33]Data!$B$14</definedName>
    <definedName name="廚房水溝蓋" localSheetId="4">#REF!</definedName>
    <definedName name="廚房水溝蓋" localSheetId="3">#REF!</definedName>
    <definedName name="廚房水溝蓋">#REF!</definedName>
    <definedName name="廚房垃圾桶工程" localSheetId="4">#REF!</definedName>
    <definedName name="廚房垃圾桶工程" localSheetId="3">#REF!</definedName>
    <definedName name="廚房垃圾桶工程">#REF!</definedName>
    <definedName name="槽鋼" localSheetId="4">#REF!</definedName>
    <definedName name="槽鋼" localSheetId="3">#REF!</definedName>
    <definedName name="槽鋼">#REF!</definedName>
    <definedName name="樑板小間塞" localSheetId="4">#REF!</definedName>
    <definedName name="樑板小間塞" localSheetId="3">#REF!</definedName>
    <definedName name="樑板小間塞">#REF!</definedName>
    <definedName name="樓梯不銹鋼扶手" localSheetId="4">#REF!</definedName>
    <definedName name="樓梯不銹鋼扶手" localSheetId="3">#REF!</definedName>
    <definedName name="樓梯不銹鋼扶手">#REF!</definedName>
    <definedName name="樓梯木地板工程_3cm紫檀木實木板工料" localSheetId="4">#REF!</definedName>
    <definedName name="樓梯木地板工程_3cm紫檀木實木板工料" localSheetId="3">#REF!</definedName>
    <definedName name="樓梯木地板工程_3cm紫檀木實木板工料">#REF!</definedName>
    <definedName name="樓梯打底工資">[5]工料單價!$J$20</definedName>
    <definedName name="樓梯抹_磨石子工資">[5]工料單價!$J$29</definedName>
    <definedName name="樓梯貼20_20石英磚_硬底">[34]單價分析!$F$708</definedName>
    <definedName name="樓梯貼20_25石英磚_軟底">[31]單價分析!$F$855</definedName>
    <definedName name="樓梯貼花崗石">[31]單價分析!$F$315</definedName>
    <definedName name="樓梯貼花崗石連工帶料">[31]工料單價!$J$35</definedName>
    <definedName name="樓梯貼磚工資_軟">[31]工料單價!$J$41</definedName>
    <definedName name="樓梯貼磚工資_硬">[5]工料單價!$J$40</definedName>
    <definedName name="樓梯磁磚打底工資">[5]工料單價!$J$21</definedName>
    <definedName name="樓梯鋼纜扶手" localSheetId="4">#REF!</definedName>
    <definedName name="樓梯鋼纜扶手" localSheetId="3">#REF!</definedName>
    <definedName name="樓梯鋼纜扶手">#REF!</definedName>
    <definedName name="標高器" localSheetId="4">#REF!</definedName>
    <definedName name="標高器" localSheetId="3">#REF!</definedName>
    <definedName name="標高器">#REF!</definedName>
    <definedName name="標單二" localSheetId="4">#REF!</definedName>
    <definedName name="標單二" localSheetId="3">#REF!</definedName>
    <definedName name="標單二">#REF!</definedName>
    <definedName name="標誌標線設置_900M" localSheetId="4">#REF!</definedName>
    <definedName name="標誌標線設置_900M" localSheetId="3">#REF!</definedName>
    <definedName name="標誌標線設置_900M">#REF!</definedName>
    <definedName name="樟樹移植φ_20_40cm" localSheetId="4">#REF!</definedName>
    <definedName name="樟樹移植φ_20_40cm" localSheetId="3">#REF!</definedName>
    <definedName name="樟樹移植φ_20_40cm">#REF!</definedName>
    <definedName name="模板五金機具" localSheetId="4">#REF!</definedName>
    <definedName name="模板五金機具" localSheetId="3">#REF!</definedName>
    <definedName name="模板五金機具">#REF!</definedName>
    <definedName name="模板教練費" localSheetId="4">#REF!</definedName>
    <definedName name="模板教練費" localSheetId="3">#REF!</definedName>
    <definedName name="模板教練費">#REF!</definedName>
    <definedName name="模板搬、吊運費" localSheetId="4">#REF!</definedName>
    <definedName name="模板搬、吊運費" localSheetId="3">#REF!</definedName>
    <definedName name="模板搬、吊運費">#REF!</definedName>
    <definedName name="熱浸處理強化結構玻璃15mm" localSheetId="4">#REF!</definedName>
    <definedName name="熱浸處理強化結構玻璃15mm" localSheetId="3">#REF!</definedName>
    <definedName name="熱浸處理強化結構玻璃15mm">#REF!</definedName>
    <definedName name="窯燒花崗石10_10">[5]工料單價!$B$25</definedName>
    <definedName name="窯燒花崗石14_14">[6]工料單價!$B$31</definedName>
    <definedName name="窯燒花崗石20_20">[23]工料單價!$L$26</definedName>
    <definedName name="編號">[38]差異分析明細!$B$1:$B$752</definedName>
    <definedName name="緬梔移植φ_20_40cm" localSheetId="4">#REF!</definedName>
    <definedName name="緬梔移植φ_20_40cm" localSheetId="3">#REF!</definedName>
    <definedName name="緬梔移植φ_20_40cm">#REF!</definedName>
    <definedName name="調整" localSheetId="4">[24]單價2!#REF!</definedName>
    <definedName name="調整" localSheetId="3">[24]單價2!#REF!</definedName>
    <definedName name="調整">[24]單價2!#REF!</definedName>
    <definedName name="踢腳打底工資" localSheetId="4">#REF!</definedName>
    <definedName name="踢腳打底工資" localSheetId="3">#REF!</definedName>
    <definedName name="踢腳打底工資">#REF!</definedName>
    <definedName name="踢腳刷乳膠漆連工帶料">[36]工料單價!$J$26</definedName>
    <definedName name="踢腳抹_磨石子工資">[5]工料單價!$J$28</definedName>
    <definedName name="踢腳粉刷工資">[36]工料單價!$J$7</definedName>
    <definedName name="踢腳貼10_20石英磚_軟底" localSheetId="4">#REF!</definedName>
    <definedName name="踢腳貼10_20石英磚_軟底" localSheetId="3">#REF!</definedName>
    <definedName name="踢腳貼10_20石英磚_軟底">#REF!</definedName>
    <definedName name="踢腳貼花崗石連工帶料">[5]工料單價!$J$33</definedName>
    <definedName name="踢腳貼磚工資_軟" localSheetId="4">#REF!</definedName>
    <definedName name="踢腳貼磚工資_軟" localSheetId="3">#REF!</definedName>
    <definedName name="踢腳貼磚工資_軟">#REF!</definedName>
    <definedName name="鋁版1mm工料" localSheetId="4">#REF!</definedName>
    <definedName name="鋁版1mm工料" localSheetId="3">#REF!</definedName>
    <definedName name="鋁版1mm工料">#REF!</definedName>
    <definedName name="鋁版氟碳烤漆工料3mm" localSheetId="4">#REF!</definedName>
    <definedName name="鋁版氟碳烤漆工料3mm" localSheetId="3">#REF!</definedName>
    <definedName name="鋁版氟碳烤漆工料3mm">#REF!</definedName>
    <definedName name="鋁版氟碳烤漆工料6mm" localSheetId="4">#REF!</definedName>
    <definedName name="鋁版氟碳烤漆工料6mm" localSheetId="3">#REF!</definedName>
    <definedName name="鋁版氟碳烤漆工料6mm">#REF!</definedName>
    <definedName name="鋁製百業雨披" localSheetId="4">#REF!</definedName>
    <definedName name="鋁製百業雨披" localSheetId="3">#REF!</definedName>
    <definedName name="鋁製百業雨披">#REF!</definedName>
    <definedName name="鋁製裝飾板安裝工資" localSheetId="4">#REF!</definedName>
    <definedName name="鋁製裝飾板安裝工資" localSheetId="3">#REF!</definedName>
    <definedName name="鋁製裝飾板安裝工資">#REF!</definedName>
    <definedName name="鋁質金屬板安裝工資" localSheetId="4">#REF!</definedName>
    <definedName name="鋁質金屬板安裝工資" localSheetId="3">#REF!</definedName>
    <definedName name="鋁質金屬板安裝工資">#REF!</definedName>
    <definedName name="鋁擠型3mm_40mu氟碳烤漆工料" localSheetId="4">#REF!</definedName>
    <definedName name="鋁擠型3mm_40mu氟碳烤漆工料" localSheetId="3">#REF!</definedName>
    <definedName name="鋁擠型3mm_40mu氟碳烤漆工料">#REF!</definedName>
    <definedName name="鋁擠型5mm_40mu氟碳烤漆工料" localSheetId="4">#REF!</definedName>
    <definedName name="鋁擠型5mm_40mu氟碳烤漆工料" localSheetId="3">#REF!</definedName>
    <definedName name="鋁擠型5mm_40mu氟碳烤漆工料">#REF!</definedName>
    <definedName name="鋪60_60方塊地毯工資" localSheetId="4">#REF!</definedName>
    <definedName name="鋪60_60方塊地毯工資" localSheetId="3">#REF!</definedName>
    <definedName name="鋪60_60方塊地毯工資">#REF!</definedName>
    <definedName name="鋪DECK工資" localSheetId="4">#REF!</definedName>
    <definedName name="鋪DECK工資" localSheetId="3">#REF!</definedName>
    <definedName name="鋪DECK工資">#REF!</definedName>
    <definedName name="鋪文化瓦工資" localSheetId="4">#REF!</definedName>
    <definedName name="鋪文化瓦工資" localSheetId="3">#REF!</definedName>
    <definedName name="鋪文化瓦工資">#REF!</definedName>
    <definedName name="鋪面施工費" localSheetId="4">#REF!</definedName>
    <definedName name="鋪面施工費" localSheetId="3">#REF!</definedName>
    <definedName name="鋪面施工費">#REF!</definedName>
    <definedName name="鋪連鎖磚工資" localSheetId="4">#REF!</definedName>
    <definedName name="鋪連鎖磚工資" localSheetId="3">#REF!</definedName>
    <definedName name="鋪連鎖磚工資">#REF!</definedName>
    <definedName name="鋪塑膠PVC地磚工資" localSheetId="4">#REF!</definedName>
    <definedName name="鋪塑膠PVC地磚工資" localSheetId="3">#REF!</definedName>
    <definedName name="鋪塑膠PVC地磚工資">#REF!</definedName>
    <definedName name="壁體施工費" localSheetId="4">#REF!</definedName>
    <definedName name="壁體施工費" localSheetId="3">#REF!</definedName>
    <definedName name="壁體施工費">#REF!</definedName>
    <definedName name="壁體傾斜管_ABS" localSheetId="4">#REF!</definedName>
    <definedName name="壁體傾斜管_ABS" localSheetId="3">#REF!</definedName>
    <definedName name="壁體傾斜管_ABS">#REF!</definedName>
    <definedName name="導溝施工費" localSheetId="4">#REF!</definedName>
    <definedName name="導溝施工費" localSheetId="3">#REF!</definedName>
    <definedName name="導溝施工費">#REF!</definedName>
    <definedName name="導溝模板" localSheetId="4">#REF!</definedName>
    <definedName name="導溝模板" localSheetId="3">#REF!</definedName>
    <definedName name="導溝模板">#REF!</definedName>
    <definedName name="擋土牆">'[26]STEEL TABLE'!$A$19:$M$24</definedName>
    <definedName name="整地工程" localSheetId="4">#REF!</definedName>
    <definedName name="整地工程" localSheetId="3">#REF!</definedName>
    <definedName name="整地工程">#REF!</definedName>
    <definedName name="整型羅漢松_φ5cm高0.8_1m" localSheetId="4">#REF!</definedName>
    <definedName name="整型羅漢松_φ5cm高0.8_1m" localSheetId="3">#REF!</definedName>
    <definedName name="整型羅漢松_φ5cm高0.8_1m">#REF!</definedName>
    <definedName name="整型羅漢松_高0.8_1m" localSheetId="4">#REF!</definedName>
    <definedName name="整型羅漢松_高0.8_1m" localSheetId="3">#REF!</definedName>
    <definedName name="整型羅漢松_高0.8_1m">#REF!</definedName>
    <definedName name="整體粉光連工帶料" localSheetId="4">#REF!</definedName>
    <definedName name="整體粉光連工帶料" localSheetId="3">#REF!</definedName>
    <definedName name="整體粉光連工帶料">#REF!</definedName>
    <definedName name="樹脂砂漿加金剛砂連工帶料" localSheetId="4">#REF!</definedName>
    <definedName name="樹脂砂漿加金剛砂連工帶料" localSheetId="3">#REF!</definedName>
    <definedName name="樹脂砂漿加金剛砂連工帶料">#REF!</definedName>
    <definedName name="橋長" localSheetId="4">#REF!</definedName>
    <definedName name="橋長" localSheetId="3">#REF!</definedName>
    <definedName name="橋長">#REF!</definedName>
    <definedName name="機具ˍ日" localSheetId="4">#REF!</definedName>
    <definedName name="機具ˍ日" localSheetId="3">#REF!</definedName>
    <definedName name="機具ˍ日">#REF!</definedName>
    <definedName name="機具ˍ累" localSheetId="4">#REF!</definedName>
    <definedName name="機具ˍ累" localSheetId="3">#REF!</definedName>
    <definedName name="機具ˍ累">#REF!</definedName>
    <definedName name="機電" localSheetId="4">#REF!</definedName>
    <definedName name="機電" localSheetId="3">#REF!</definedName>
    <definedName name="機電">#REF!</definedName>
    <definedName name="橡膠化彈性水泥防水層" localSheetId="4">#REF!</definedName>
    <definedName name="橡膠化彈性水泥防水層" localSheetId="3">#REF!</definedName>
    <definedName name="橡膠化彈性水泥防水層">#REF!</definedName>
    <definedName name="燈座基礎人工挖掘" localSheetId="4">#REF!</definedName>
    <definedName name="燈座基礎人工挖掘" localSheetId="3">#REF!</definedName>
    <definedName name="燈座基礎人工挖掘">#REF!</definedName>
    <definedName name="磨石子地磚30_30">[5]工料單價!$B$26</definedName>
    <definedName name="磨石子地磚40_40">[31]工料單價!$B$27</definedName>
    <definedName name="磨石子地磚50_50">[5]工料單價!$B$28</definedName>
    <definedName name="鋼柱2小時防火披覆" localSheetId="4">#REF!</definedName>
    <definedName name="鋼柱2小時防火披覆" localSheetId="3">#REF!</definedName>
    <definedName name="鋼柱2小時防火披覆">#REF!</definedName>
    <definedName name="鋼柱基礎螺栓" localSheetId="4">#REF!</definedName>
    <definedName name="鋼柱基礎螺栓" localSheetId="3">#REF!</definedName>
    <definedName name="鋼柱基礎螺栓">#REF!</definedName>
    <definedName name="鋼筋">[44]鋼筋!$H$3:$AG$10</definedName>
    <definedName name="鋼筋小搬運" localSheetId="4">#REF!</definedName>
    <definedName name="鋼筋小搬運" localSheetId="3">#REF!</definedName>
    <definedName name="鋼筋小搬運">#REF!</definedName>
    <definedName name="鋼筋加工及組立">[23]工料單價!$G$51</definedName>
    <definedName name="鋼筋加工及組立_外勞">[6]工料單價!$J$66</definedName>
    <definedName name="鋼筋加工及組立_自辦__地下室">[6]工料單價!$J$59</definedName>
    <definedName name="鋼筋加工及組立_空心磚植筋" localSheetId="4">#REF!</definedName>
    <definedName name="鋼筋加工及組立_空心磚植筋" localSheetId="3">#REF!</definedName>
    <definedName name="鋼筋加工及組立_空心磚植筋">#REF!</definedName>
    <definedName name="鋼筋加工及組立_空心磚補強鋼筋" localSheetId="4">#REF!</definedName>
    <definedName name="鋼筋加工及組立_空心磚補強鋼筋" localSheetId="3">#REF!</definedName>
    <definedName name="鋼筋加工及組立_空心磚補強鋼筋">#REF!</definedName>
    <definedName name="鋼筋加工及組立_發包">[6]工料單價!$J$58</definedName>
    <definedName name="鋼筋加工組立">[22]工料單價!$J$52</definedName>
    <definedName name="鋼筋全吊費用" localSheetId="4">#REF!</definedName>
    <definedName name="鋼筋全吊費用" localSheetId="3">#REF!</definedName>
    <definedName name="鋼筋全吊費用">#REF!</definedName>
    <definedName name="鋼筋吊運" localSheetId="4">#REF!</definedName>
    <definedName name="鋼筋吊運" localSheetId="3">#REF!</definedName>
    <definedName name="鋼筋吊運">#REF!</definedName>
    <definedName name="鋼筋材料_11_SD420" localSheetId="4">#REF!</definedName>
    <definedName name="鋼筋材料_11_SD420" localSheetId="3">#REF!</definedName>
    <definedName name="鋼筋材料_11_SD420">#REF!</definedName>
    <definedName name="鋼筋材料_9_SD420" localSheetId="4">#REF!</definedName>
    <definedName name="鋼筋材料_9_SD420" localSheetId="3">#REF!</definedName>
    <definedName name="鋼筋材料_9_SD420">#REF!</definedName>
    <definedName name="鋼筋材料SD280" localSheetId="4">#REF!</definedName>
    <definedName name="鋼筋材料SD280" localSheetId="3">#REF!</definedName>
    <definedName name="鋼筋材料SD280">#REF!</definedName>
    <definedName name="鋼筋材料SD420" localSheetId="4">#REF!</definedName>
    <definedName name="鋼筋材料SD420" localSheetId="3">#REF!</definedName>
    <definedName name="鋼筋材料SD420">#REF!</definedName>
    <definedName name="鋼筋定尺加價" localSheetId="4">#REF!</definedName>
    <definedName name="鋼筋定尺加價" localSheetId="3">#REF!</definedName>
    <definedName name="鋼筋定尺加價">#REF!</definedName>
    <definedName name="鋼筋教練費" localSheetId="4">#REF!</definedName>
    <definedName name="鋼筋教練費" localSheetId="3">#REF!</definedName>
    <definedName name="鋼筋教練費">#REF!</definedName>
    <definedName name="鋼筋場內小搬運_外勞__地上層">[6]工料單價!$J$67</definedName>
    <definedName name="鋼筋場內小搬運_自辦__地下室">[6]工料單價!$J$60</definedName>
    <definedName name="鋼筋場租金" localSheetId="4">#REF!</definedName>
    <definedName name="鋼筋場租金" localSheetId="3">#REF!</definedName>
    <definedName name="鋼筋場租金">#REF!</definedName>
    <definedName name="鋼筋超長加價" localSheetId="4">#REF!</definedName>
    <definedName name="鋼筋超長加價" localSheetId="3">#REF!</definedName>
    <definedName name="鋼筋超長加價">#REF!</definedName>
    <definedName name="鋼筋塔吊吊運工資_外勞__地上層">[6]工料單價!$J$68</definedName>
    <definedName name="鋼筋塔吊吊運工資_自辦__地下室">[6]工料單價!$J$61</definedName>
    <definedName name="鋼筋號數加價" localSheetId="4">#REF!</definedName>
    <definedName name="鋼筋號數加價" localSheetId="3">#REF!</definedName>
    <definedName name="鋼筋號數加價">#REF!</definedName>
    <definedName name="鋼筋運費" localSheetId="4">#REF!</definedName>
    <definedName name="鋼筋運費" localSheetId="3">#REF!</definedName>
    <definedName name="鋼筋運費">#REF!</definedName>
    <definedName name="鋼筋機具_外勞__地上層">[6]工料單價!$J$72</definedName>
    <definedName name="鋼筋機具_自辦__地下室">[6]工料單價!$J$65</definedName>
    <definedName name="鋼筋機具設備" localSheetId="4">#REF!</definedName>
    <definedName name="鋼筋機具設備" localSheetId="3">#REF!</definedName>
    <definedName name="鋼筋機具設備">#REF!</definedName>
    <definedName name="鋼筋應變計" localSheetId="4">#REF!</definedName>
    <definedName name="鋼筋應變計" localSheetId="3">#REF!</definedName>
    <definedName name="鋼筋應變計">#REF!</definedName>
    <definedName name="鋼構塗裝費" localSheetId="4">#REF!</definedName>
    <definedName name="鋼構塗裝費" localSheetId="3">#REF!</definedName>
    <definedName name="鋼構塗裝費">#REF!</definedName>
    <definedName name="鋼構運費" localSheetId="4">#REF!</definedName>
    <definedName name="鋼構運費" localSheetId="3">#REF!</definedName>
    <definedName name="鋼構運費">#REF!</definedName>
    <definedName name="鋼構製作費" localSheetId="4">#REF!</definedName>
    <definedName name="鋼構製作費" localSheetId="3">#REF!</definedName>
    <definedName name="鋼構製作費">#REF!</definedName>
    <definedName name="鋼管支撐" localSheetId="4">#REF!</definedName>
    <definedName name="鋼管支撐" localSheetId="3">#REF!</definedName>
    <definedName name="鋼管支撐">#REF!</definedName>
    <definedName name="鋼管鷹架_含45cm踏板_安全索">[22]工料單價!$B$37</definedName>
    <definedName name="鋼管鷹架_含60cm踏板_安全索" localSheetId="4">#REF!</definedName>
    <definedName name="鋼管鷹架_含60cm踏板_安全索" localSheetId="3">#REF!</definedName>
    <definedName name="鋼管鷹架_含60cm踏板_安全索">#REF!</definedName>
    <definedName name="鋼樑1小時防火漆" localSheetId="4">#REF!</definedName>
    <definedName name="鋼樑1小時防火漆" localSheetId="3">#REF!</definedName>
    <definedName name="鋼樑1小時防火漆">#REF!</definedName>
    <definedName name="鋼樑2小時防火披覆" localSheetId="4">#REF!</definedName>
    <definedName name="鋼樑2小時防火披覆" localSheetId="3">#REF!</definedName>
    <definedName name="鋼樑2小時防火披覆">#REF!</definedName>
    <definedName name="鋼樑金屬補強網" localSheetId="4">#REF!</definedName>
    <definedName name="鋼樑金屬補強網" localSheetId="3">#REF!</definedName>
    <definedName name="鋼樑金屬補強網">#REF!</definedName>
    <definedName name="鋼樑基礎螺栓" localSheetId="4">#REF!</definedName>
    <definedName name="鋼樑基礎螺栓" localSheetId="3">#REF!</definedName>
    <definedName name="鋼樑基礎螺栓">#REF!</definedName>
    <definedName name="錫蘭橄欖移植φ_20_40cm" localSheetId="4">#REF!</definedName>
    <definedName name="錫蘭橄欖移植φ_20_40cm" localSheetId="3">#REF!</definedName>
    <definedName name="錫蘭橄欖移植φ_20_40cm">#REF!</definedName>
    <definedName name="錯">#REF!</definedName>
    <definedName name="隨機抽查" localSheetId="4">[1]A!#REF!</definedName>
    <definedName name="隨機抽查" localSheetId="3">[1]A!#REF!</definedName>
    <definedName name="隨機抽查">[1]A!#REF!</definedName>
    <definedName name="壓花止滑鋼板" localSheetId="4">#REF!</definedName>
    <definedName name="壓花止滑鋼板" localSheetId="3">#REF!</definedName>
    <definedName name="壓花止滑鋼板">#REF!</definedName>
    <definedName name="營業稅">[33]Data!$B$7</definedName>
    <definedName name="牆" localSheetId="4">#REF!</definedName>
    <definedName name="牆" localSheetId="3">#REF!</definedName>
    <definedName name="牆">#REF!</definedName>
    <definedName name="總" localSheetId="3">#REF!</definedName>
    <definedName name="總">#REF!</definedName>
    <definedName name="鍍鋅鋼板280×280×2cm" localSheetId="4">#REF!</definedName>
    <definedName name="鍍鋅鋼板280×280×2cm" localSheetId="3">#REF!</definedName>
    <definedName name="鍍鋅鋼板280×280×2cm">#REF!</definedName>
    <definedName name="鍍鋅鐵材" localSheetId="4">#REF!</definedName>
    <definedName name="鍍鋅鐵材" localSheetId="3">#REF!</definedName>
    <definedName name="鍍鋅鐵材">#REF!</definedName>
    <definedName name="黏結劑_PVC地磚" localSheetId="4">#REF!</definedName>
    <definedName name="黏結劑_PVC地磚" localSheetId="3">#REF!</definedName>
    <definedName name="黏結劑_PVC地磚">#REF!</definedName>
    <definedName name="黏結劑_方塊地毯" localSheetId="4">#REF!</definedName>
    <definedName name="黏結劑_方塊地毯" localSheetId="3">#REF!</definedName>
    <definedName name="黏結劑_方塊地毯">#REF!</definedName>
    <definedName name="黏結劑_去泥墊" localSheetId="4">#REF!</definedName>
    <definedName name="黏結劑_去泥墊" localSheetId="3">#REF!</definedName>
    <definedName name="黏結劑_去泥墊">#REF!</definedName>
    <definedName name="黏著劑">[31]工料單價!$F$9</definedName>
    <definedName name="點焊鋼絲網物料" localSheetId="4">#REF!</definedName>
    <definedName name="點焊鋼絲網物料" localSheetId="3">#REF!</definedName>
    <definedName name="點焊鋼絲網物料">#REF!</definedName>
    <definedName name="點焊鋼絲網鋪工" localSheetId="4">#REF!</definedName>
    <definedName name="點焊鋼絲網鋪工" localSheetId="3">#REF!</definedName>
    <definedName name="點焊鋼絲網鋪工">#REF!</definedName>
    <definedName name="雙層" localSheetId="4">#REF!</definedName>
    <definedName name="雙層" localSheetId="3">#REF!</definedName>
    <definedName name="雙層">#REF!</definedName>
    <definedName name="穩定液池模板" localSheetId="4">#REF!</definedName>
    <definedName name="穩定液池模板" localSheetId="3">#REF!</definedName>
    <definedName name="穩定液池模板">#REF!</definedName>
    <definedName name="羅比親王海棗移植" localSheetId="4">#REF!</definedName>
    <definedName name="羅比親王海棗移植" localSheetId="3">#REF!</definedName>
    <definedName name="羅比親王海棗移植">#REF!</definedName>
    <definedName name="邊坡保護工程固定栓" localSheetId="4">#REF!</definedName>
    <definedName name="邊坡保護工程固定栓" localSheetId="3">#REF!</definedName>
    <definedName name="邊坡保護工程固定栓">#REF!</definedName>
    <definedName name="邊坡保護施工費用" localSheetId="4">#REF!</definedName>
    <definedName name="邊坡保護施工費用" localSheetId="3">#REF!</definedName>
    <definedName name="邊坡保護施工費用">#REF!</definedName>
    <definedName name="霧社山櫻_φ8cm_高2.5_3m" localSheetId="4">#REF!</definedName>
    <definedName name="霧社山櫻_φ8cm_高2.5_3m" localSheetId="3">#REF!</definedName>
    <definedName name="霧社山櫻_φ8cm_高2.5_3m">#REF!</definedName>
    <definedName name="霧面石英磚30_30" localSheetId="4">#REF!</definedName>
    <definedName name="霧面石英磚30_30" localSheetId="3">#REF!</definedName>
    <definedName name="霧面石英磚30_30">#REF!</definedName>
    <definedName name="類地毯草" localSheetId="4">#REF!</definedName>
    <definedName name="類地毯草" localSheetId="3">#REF!</definedName>
    <definedName name="類地毯草">#REF!</definedName>
    <definedName name="礦纖天花障板" localSheetId="4">#REF!</definedName>
    <definedName name="礦纖天花障板" localSheetId="3">#REF!</definedName>
    <definedName name="礦纖天花障板">#REF!</definedName>
    <definedName name="襯底鋼板" localSheetId="4">#REF!</definedName>
    <definedName name="襯底鋼板" localSheetId="3">#REF!</definedName>
    <definedName name="襯底鋼板">#REF!</definedName>
    <definedName name="襯板_工料" localSheetId="4">#REF!</definedName>
    <definedName name="襯板_工料" localSheetId="3">#REF!</definedName>
    <definedName name="襯板_工料">#REF!</definedName>
    <definedName name="鑄鋁截水溝蓋" localSheetId="4">#REF!</definedName>
    <definedName name="鑄鋁截水溝蓋" localSheetId="3">#REF!</definedName>
    <definedName name="鑄鋁截水溝蓋">#REF!</definedName>
    <definedName name="鑄鐵人孔蓋" localSheetId="4">#REF!</definedName>
    <definedName name="鑄鐵人孔蓋" localSheetId="3">#REF!</definedName>
    <definedName name="鑄鐵人孔蓋">#REF!</definedName>
    <definedName name="欖仁移植φ_10cm以下" localSheetId="4">#REF!</definedName>
    <definedName name="欖仁移植φ_10cm以下" localSheetId="3">#REF!</definedName>
    <definedName name="欖仁移植φ_10cm以下">#REF!</definedName>
    <definedName name="觀測費及報告費" localSheetId="4">#REF!</definedName>
    <definedName name="觀測費及報告費" localSheetId="3">#REF!</definedName>
    <definedName name="觀測費及報告費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6" i="44" l="1"/>
  <c r="AH5" i="44"/>
  <c r="AH4" i="44"/>
  <c r="AG4" i="44"/>
  <c r="AF4" i="44"/>
  <c r="AE4" i="44"/>
  <c r="AD4" i="44"/>
  <c r="AC4" i="44"/>
  <c r="AB4" i="44"/>
  <c r="AA4" i="44"/>
  <c r="Z4" i="44"/>
  <c r="AH5" i="43"/>
  <c r="AH6" i="43"/>
  <c r="AH4" i="43" s="1"/>
  <c r="AG4" i="43"/>
  <c r="AF4" i="43"/>
  <c r="AE4" i="43"/>
  <c r="AD4" i="43"/>
  <c r="AC4" i="43"/>
  <c r="AB4" i="43"/>
  <c r="AA4" i="43"/>
  <c r="Z4" i="43"/>
  <c r="AH6" i="41"/>
  <c r="AH7" i="41"/>
  <c r="AH8" i="41"/>
  <c r="AH9" i="41"/>
  <c r="AH10" i="41"/>
  <c r="AH11" i="41"/>
  <c r="AH62" i="41"/>
  <c r="AH13" i="41"/>
  <c r="AH14" i="41"/>
  <c r="AH15" i="41"/>
  <c r="AH16" i="41"/>
  <c r="AH17" i="41"/>
  <c r="AH18" i="41"/>
  <c r="AH19" i="41"/>
  <c r="AH20" i="41"/>
  <c r="AH21" i="41"/>
  <c r="AH22" i="41"/>
  <c r="AH23" i="41"/>
  <c r="AH24" i="41"/>
  <c r="AH25" i="41"/>
  <c r="AH26" i="41"/>
  <c r="AH27" i="41"/>
  <c r="AH28" i="41"/>
  <c r="AH29" i="41"/>
  <c r="AH30" i="41"/>
  <c r="AH31" i="41"/>
  <c r="AH32" i="41"/>
  <c r="AH33" i="41"/>
  <c r="AH34" i="41"/>
  <c r="AH63" i="41"/>
  <c r="AH36" i="41"/>
  <c r="AH37" i="41"/>
  <c r="AH38" i="41"/>
  <c r="AH39" i="41"/>
  <c r="AH40" i="41"/>
  <c r="AH41" i="41"/>
  <c r="AH42" i="41"/>
  <c r="AH43" i="41"/>
  <c r="AH44" i="41"/>
  <c r="AH45" i="41"/>
  <c r="AH46" i="41"/>
  <c r="AH47" i="41"/>
  <c r="AH48" i="41"/>
  <c r="AH49" i="41"/>
  <c r="AH50" i="41"/>
  <c r="AH51" i="41"/>
  <c r="AH52" i="41"/>
  <c r="AH53" i="41"/>
  <c r="AH54" i="41"/>
  <c r="AH55" i="41"/>
  <c r="AH56" i="41"/>
  <c r="AH57" i="41"/>
  <c r="AH58" i="41"/>
  <c r="AH59" i="41"/>
  <c r="AH64" i="41"/>
  <c r="AH65" i="41"/>
  <c r="AH5" i="41" l="1"/>
  <c r="AA4" i="41"/>
  <c r="AB4" i="41"/>
  <c r="AC4" i="41"/>
  <c r="AD4" i="41"/>
  <c r="AE4" i="41"/>
  <c r="AF4" i="41"/>
  <c r="AG4" i="41"/>
  <c r="Z4" i="41"/>
  <c r="A42" i="41"/>
  <c r="A64" i="41" s="1"/>
  <c r="A43" i="41" s="1"/>
  <c r="A44" i="41" s="1"/>
  <c r="A65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9" i="41" s="1"/>
  <c r="AH4" i="41" l="1"/>
  <c r="AI4" i="29"/>
  <c r="AH4" i="29"/>
  <c r="AT4" i="29" s="1"/>
  <c r="AG4" i="29"/>
  <c r="AS4" i="29" s="1"/>
  <c r="AF4" i="29"/>
  <c r="AR4" i="29" s="1"/>
  <c r="AE4" i="29"/>
  <c r="AQ4" i="29" s="1"/>
  <c r="AD4" i="29"/>
  <c r="AP4" i="29" s="1"/>
  <c r="AC4" i="29"/>
  <c r="AO4" i="29" s="1"/>
  <c r="AB4" i="29"/>
  <c r="AN4" i="29" s="1"/>
  <c r="AJ4" i="29" l="1"/>
  <c r="AU4" i="29" s="1"/>
  <c r="AB4" i="24" l="1"/>
  <c r="AC4" i="24"/>
  <c r="AD4" i="24"/>
  <c r="AE4" i="24"/>
  <c r="AF4" i="24"/>
  <c r="AR4" i="24" s="1"/>
  <c r="AG4" i="24"/>
  <c r="AS4" i="24" s="1"/>
  <c r="AH4" i="24"/>
  <c r="AI4" i="24"/>
  <c r="AN4" i="24"/>
  <c r="AO4" i="24"/>
  <c r="AP4" i="24"/>
  <c r="AQ4" i="24"/>
  <c r="AJ4" i="24" l="1"/>
  <c r="AU4" i="24" s="1"/>
  <c r="AT4" i="24"/>
</calcChain>
</file>

<file path=xl/sharedStrings.xml><?xml version="1.0" encoding="utf-8"?>
<sst xmlns="http://schemas.openxmlformats.org/spreadsheetml/2006/main" count="1476" uniqueCount="741">
  <si>
    <t xml:space="preserve"> </t>
    <phoneticPr fontId="1" type="noConversion"/>
  </si>
  <si>
    <t>國道1號265k+286排水箱涵改建工程</t>
    <phoneticPr fontId="6" type="noConversion"/>
  </si>
  <si>
    <t>計劃書管制表</t>
    <phoneticPr fontId="7" type="noConversion"/>
  </si>
  <si>
    <t xml:space="preserve">計畫書送審管制表                                </t>
  </si>
  <si>
    <t>計畫書送審管制清單</t>
    <phoneticPr fontId="7" type="noConversion"/>
  </si>
  <si>
    <t>項次</t>
    <phoneticPr fontId="7" type="noConversion"/>
  </si>
  <si>
    <t>項 目 名 稱</t>
    <phoneticPr fontId="7" type="noConversion"/>
  </si>
  <si>
    <t>契約規定
送審期限</t>
    <phoneticPr fontId="7" type="noConversion"/>
  </si>
  <si>
    <t>預訂送審
日期</t>
    <phoneticPr fontId="7" type="noConversion"/>
  </si>
  <si>
    <t>第一次送審</t>
    <phoneticPr fontId="6" type="noConversion"/>
  </si>
  <si>
    <t>第二次送審</t>
    <phoneticPr fontId="6" type="noConversion"/>
  </si>
  <si>
    <t>第三次送審</t>
    <phoneticPr fontId="1" type="noConversion"/>
  </si>
  <si>
    <t>第四次送審</t>
    <phoneticPr fontId="6" type="noConversion"/>
  </si>
  <si>
    <t>核定文號及日期
核定日期</t>
    <phoneticPr fontId="7" type="noConversion"/>
  </si>
  <si>
    <t>備註</t>
    <phoneticPr fontId="7" type="noConversion"/>
  </si>
  <si>
    <t>卷宗編號</t>
    <phoneticPr fontId="6" type="noConversion"/>
  </si>
  <si>
    <t>預計提送</t>
    <phoneticPr fontId="7" type="noConversion"/>
  </si>
  <si>
    <t>未送審</t>
    <phoneticPr fontId="7" type="noConversion"/>
  </si>
  <si>
    <t>審查中</t>
    <phoneticPr fontId="7" type="noConversion"/>
  </si>
  <si>
    <t>修正中</t>
    <phoneticPr fontId="7" type="noConversion"/>
  </si>
  <si>
    <t>監造已核定</t>
    <phoneticPr fontId="7" type="noConversion"/>
  </si>
  <si>
    <t>工務段已核定</t>
    <phoneticPr fontId="7" type="noConversion"/>
  </si>
  <si>
    <t>工程處已核定</t>
    <phoneticPr fontId="7" type="noConversion"/>
  </si>
  <si>
    <t>文資處已核定</t>
    <phoneticPr fontId="7" type="noConversion"/>
  </si>
  <si>
    <t>已核定合計</t>
    <phoneticPr fontId="7" type="noConversion"/>
  </si>
  <si>
    <t>承包商送審日期</t>
    <phoneticPr fontId="1" type="noConversion"/>
  </si>
  <si>
    <t>承包商送審日期</t>
    <phoneticPr fontId="6" type="noConversion"/>
  </si>
  <si>
    <t>承包商送審函文</t>
    <phoneticPr fontId="7" type="noConversion"/>
  </si>
  <si>
    <t>監造函覆
日期</t>
    <phoneticPr fontId="1" type="noConversion"/>
  </si>
  <si>
    <t>監造函覆
日期</t>
    <phoneticPr fontId="6" type="noConversion"/>
  </si>
  <si>
    <t>監造函覆函文</t>
    <phoneticPr fontId="7" type="noConversion"/>
  </si>
  <si>
    <t>承包商送審函文</t>
    <phoneticPr fontId="1" type="noConversion"/>
  </si>
  <si>
    <t>監造函覆函文</t>
    <phoneticPr fontId="1" type="noConversion"/>
  </si>
  <si>
    <t>監造單位</t>
    <phoneticPr fontId="7" type="noConversion"/>
  </si>
  <si>
    <t>工務段</t>
    <phoneticPr fontId="7" type="noConversion"/>
  </si>
  <si>
    <t>整體施工計畫</t>
    <phoneticPr fontId="1" type="noConversion"/>
  </si>
  <si>
    <t>獲決標通知次日起30日內</t>
    <phoneticPr fontId="1" type="noConversion"/>
  </si>
  <si>
    <t>112.1.15</t>
    <phoneticPr fontId="1" type="noConversion"/>
  </si>
  <si>
    <t>112.1.13</t>
    <phoneticPr fontId="1" type="noConversion"/>
  </si>
  <si>
    <t>（112）WS總排水箱涵字第001號</t>
    <phoneticPr fontId="1" type="noConversion"/>
  </si>
  <si>
    <t>112.2.7</t>
    <phoneticPr fontId="1" type="noConversion"/>
  </si>
  <si>
    <t>聯嘉字第1120207001號</t>
    <phoneticPr fontId="1" type="noConversion"/>
  </si>
  <si>
    <t>112.02.20</t>
    <phoneticPr fontId="1" type="noConversion"/>
  </si>
  <si>
    <t>(112)WS總265箱涵字第008號函</t>
    <phoneticPr fontId="1" type="noConversion"/>
  </si>
  <si>
    <t>112.03.01</t>
    <phoneticPr fontId="1" type="noConversion"/>
  </si>
  <si>
    <t>聯嘉字第1120301001號</t>
    <phoneticPr fontId="1" type="noConversion"/>
  </si>
  <si>
    <t>112.03.06</t>
    <phoneticPr fontId="1" type="noConversion"/>
  </si>
  <si>
    <t>（112）WS總256箱涵字第017號</t>
    <phoneticPr fontId="1" type="noConversion"/>
  </si>
  <si>
    <t>112.03.07</t>
    <phoneticPr fontId="1" type="noConversion"/>
  </si>
  <si>
    <t>聯嘉字第1120307001號</t>
    <phoneticPr fontId="1" type="noConversion"/>
  </si>
  <si>
    <t>112年3月15日
南工字第1122260543函核定</t>
    <phoneticPr fontId="1" type="noConversion"/>
  </si>
  <si>
    <t>1-1</t>
    <phoneticPr fontId="1" type="noConversion"/>
  </si>
  <si>
    <t>112.2.20</t>
    <phoneticPr fontId="1" type="noConversion"/>
  </si>
  <si>
    <t>（112）WS總排水箱涵字第008 號</t>
    <phoneticPr fontId="1" type="noConversion"/>
  </si>
  <si>
    <t>施工前30日提出</t>
    <phoneticPr fontId="1" type="noConversion"/>
  </si>
  <si>
    <t>品質計畫</t>
    <phoneticPr fontId="1" type="noConversion"/>
  </si>
  <si>
    <t>（112）WS總排水箱涵字第002號</t>
    <phoneticPr fontId="1" type="noConversion"/>
  </si>
  <si>
    <t>（112）WS總排水箱涵字第020號</t>
    <phoneticPr fontId="1" type="noConversion"/>
  </si>
  <si>
    <t>聯嘉字第1120307001號</t>
  </si>
  <si>
    <t>品質計畫(修訂1版)</t>
    <phoneticPr fontId="1" type="noConversion"/>
  </si>
  <si>
    <t>112.03.25</t>
    <phoneticPr fontId="1" type="noConversion"/>
  </si>
  <si>
    <t>112.03.22</t>
    <phoneticPr fontId="1" type="noConversion"/>
  </si>
  <si>
    <t>(112)WS(265k箱涵)字第1120322002號</t>
    <phoneticPr fontId="1" type="noConversion"/>
  </si>
  <si>
    <t>施工便道構築計畫</t>
    <phoneticPr fontId="1" type="noConversion"/>
  </si>
  <si>
    <t>預定施工日期30日前提送</t>
    <phoneticPr fontId="1" type="noConversion"/>
  </si>
  <si>
    <t>施工便橋及構台施工計畫</t>
    <phoneticPr fontId="1" type="noConversion"/>
  </si>
  <si>
    <t>混凝土面打毛與環氧樹脂黏著劑施工計畫</t>
    <phoneticPr fontId="1" type="noConversion"/>
  </si>
  <si>
    <t>臨時擋土樁施工計畫</t>
    <phoneticPr fontId="1" type="noConversion"/>
  </si>
  <si>
    <t>結構混凝土澆置施工計畫</t>
    <phoneticPr fontId="1" type="noConversion"/>
  </si>
  <si>
    <t>預力鋼腱施工計畫</t>
    <phoneticPr fontId="1" type="noConversion"/>
  </si>
  <si>
    <t>化學黏著錨筋及錨栓施工計畫</t>
    <phoneticPr fontId="1" type="noConversion"/>
  </si>
  <si>
    <t>職業安全衛生管理計畫</t>
    <phoneticPr fontId="1" type="noConversion"/>
  </si>
  <si>
    <t>（112）WS總排水箱涵字第003號</t>
    <phoneticPr fontId="1" type="noConversion"/>
  </si>
  <si>
    <t>（112）WS總排水箱涵字第010號</t>
    <phoneticPr fontId="1" type="noConversion"/>
  </si>
  <si>
    <t>112.02.23</t>
    <phoneticPr fontId="1" type="noConversion"/>
  </si>
  <si>
    <t>聯嘉字第1120223001號</t>
    <phoneticPr fontId="1" type="noConversion"/>
  </si>
  <si>
    <t>（112）WS總256箱涵字第019號</t>
    <phoneticPr fontId="1" type="noConversion"/>
  </si>
  <si>
    <t>112年3月15日
南工字第112220546函核定</t>
    <phoneticPr fontId="1" type="noConversion"/>
  </si>
  <si>
    <t>職業安全衛生管理計畫(修訂1版)</t>
    <phoneticPr fontId="1" type="noConversion"/>
  </si>
  <si>
    <t>(112)WS(265k箱涵)字第1120322003號</t>
    <phoneticPr fontId="1" type="noConversion"/>
  </si>
  <si>
    <t>BIM施工模擬應用計畫書</t>
    <phoneticPr fontId="1" type="noConversion"/>
  </si>
  <si>
    <t>獲決標通知次日起90日內</t>
    <phoneticPr fontId="1" type="noConversion"/>
  </si>
  <si>
    <t>112.3.16</t>
    <phoneticPr fontId="1" type="noConversion"/>
  </si>
  <si>
    <t>112.03.14</t>
    <phoneticPr fontId="1" type="noConversion"/>
  </si>
  <si>
    <t>(112)WS(265k箱涵)字第1120314001號</t>
    <phoneticPr fontId="1" type="noConversion"/>
  </si>
  <si>
    <t>工地安全即時監視輔助系統設置及施工計畫</t>
    <phoneticPr fontId="1" type="noConversion"/>
  </si>
  <si>
    <t>於簽約次日起60天內(簽約日為112年1月17日)</t>
    <phoneticPr fontId="1" type="noConversion"/>
  </si>
  <si>
    <t>112.3.18</t>
    <phoneticPr fontId="1" type="noConversion"/>
  </si>
  <si>
    <t>112.03.09</t>
    <phoneticPr fontId="1" type="noConversion"/>
  </si>
  <si>
    <t>（112）WS總256箱涵字第025號</t>
    <phoneticPr fontId="1" type="noConversion"/>
  </si>
  <si>
    <t>施工安全風險管理及對策計畫</t>
  </si>
  <si>
    <t>安全衛生教育訓練計畫</t>
    <phoneticPr fontId="1" type="noConversion"/>
  </si>
  <si>
    <t>開工後30日內</t>
    <phoneticPr fontId="1" type="noConversion"/>
  </si>
  <si>
    <t>112.4.14</t>
    <phoneticPr fontId="1" type="noConversion"/>
  </si>
  <si>
    <t>施工環境保護執行計畫</t>
    <phoneticPr fontId="1" type="noConversion"/>
  </si>
  <si>
    <t>（112）WS總排水箱涵字第004號</t>
    <phoneticPr fontId="1" type="noConversion"/>
  </si>
  <si>
    <t>（112）WS總256箱涵字第018號</t>
  </si>
  <si>
    <t>112年3月15日
南工字第1122260547函核定</t>
    <phoneticPr fontId="1" type="noConversion"/>
  </si>
  <si>
    <t>逕流廢水污染削減計畫</t>
    <phoneticPr fontId="1" type="noConversion"/>
  </si>
  <si>
    <t>（112）WS總排水箱涵字第005號</t>
    <phoneticPr fontId="1" type="noConversion"/>
  </si>
  <si>
    <t>汛期及防颱計畫</t>
    <phoneticPr fontId="1" type="noConversion"/>
  </si>
  <si>
    <t>緊急應變計畫</t>
    <phoneticPr fontId="1" type="noConversion"/>
  </si>
  <si>
    <t>交通維持計畫(整體及各交維路段)</t>
    <phoneticPr fontId="1" type="noConversion"/>
  </si>
  <si>
    <t>（112）WS總排水箱涵字第009號</t>
    <phoneticPr fontId="1" type="noConversion"/>
  </si>
  <si>
    <t>聯嘉字第1120223001號</t>
  </si>
  <si>
    <t>112.03.08</t>
    <phoneticPr fontId="1" type="noConversion"/>
  </si>
  <si>
    <t>（112）WS總256箱涵字第023號</t>
  </si>
  <si>
    <t>聯嘉字第1120309001號</t>
    <phoneticPr fontId="1" type="noConversion"/>
  </si>
  <si>
    <t>112年3月16日
南工字第1122260558函核定</t>
    <phoneticPr fontId="1" type="noConversion"/>
  </si>
  <si>
    <t>營建土石方處理計畫</t>
    <phoneticPr fontId="1" type="noConversion"/>
  </si>
  <si>
    <t>廢棄物清運處理計畫</t>
    <phoneticPr fontId="1" type="noConversion"/>
  </si>
  <si>
    <t>試挖計畫</t>
    <phoneticPr fontId="1" type="noConversion"/>
  </si>
  <si>
    <t>公共管線保護計畫</t>
    <phoneticPr fontId="1" type="noConversion"/>
  </si>
  <si>
    <t>整體施工計畫(修正1版)</t>
    <phoneticPr fontId="1" type="noConversion"/>
  </si>
  <si>
    <t>聯嘉字第
1120325002號</t>
    <phoneticPr fontId="1" type="noConversion"/>
  </si>
  <si>
    <t>2-1</t>
    <phoneticPr fontId="1" type="noConversion"/>
  </si>
  <si>
    <t>112.04.07</t>
    <phoneticPr fontId="1" type="noConversion"/>
  </si>
  <si>
    <t>聯嘉字第
1120407001號</t>
    <phoneticPr fontId="1" type="noConversion"/>
  </si>
  <si>
    <t>3</t>
    <phoneticPr fontId="1" type="noConversion"/>
  </si>
  <si>
    <t>112.06.30</t>
    <phoneticPr fontId="1" type="noConversion"/>
  </si>
  <si>
    <t>4</t>
  </si>
  <si>
    <t>5</t>
  </si>
  <si>
    <t>112.04.30</t>
    <phoneticPr fontId="1" type="noConversion"/>
  </si>
  <si>
    <t>6</t>
  </si>
  <si>
    <t>7</t>
  </si>
  <si>
    <t>8</t>
  </si>
  <si>
    <t>112.03.28</t>
    <phoneticPr fontId="1" type="noConversion"/>
  </si>
  <si>
    <t>（112）WS(265k箱涵)字第1120328001號</t>
    <phoneticPr fontId="1" type="noConversion"/>
  </si>
  <si>
    <t>112.03.31</t>
    <phoneticPr fontId="1" type="noConversion"/>
  </si>
  <si>
    <t>連嘉字第1120331004號</t>
    <phoneticPr fontId="1" type="noConversion"/>
  </si>
  <si>
    <t>112.04.11</t>
    <phoneticPr fontId="1" type="noConversion"/>
  </si>
  <si>
    <t>（112）WS(265k箱涵)字第1120411003號</t>
    <phoneticPr fontId="1" type="noConversion"/>
  </si>
  <si>
    <t>9</t>
  </si>
  <si>
    <t>112.05.30</t>
    <phoneticPr fontId="1" type="noConversion"/>
  </si>
  <si>
    <t>10</t>
  </si>
  <si>
    <t>11</t>
  </si>
  <si>
    <t>112.09.30</t>
    <phoneticPr fontId="1" type="noConversion"/>
  </si>
  <si>
    <t>12</t>
  </si>
  <si>
    <t>12-1</t>
    <phoneticPr fontId="1" type="noConversion"/>
  </si>
  <si>
    <t>聯嘉字第
1120325003號</t>
    <phoneticPr fontId="1" type="noConversion"/>
  </si>
  <si>
    <t>112.03.21</t>
    <phoneticPr fontId="1" type="noConversion"/>
  </si>
  <si>
    <t>聯嘉字第
1120321001號</t>
    <phoneticPr fontId="1" type="noConversion"/>
  </si>
  <si>
    <t>112.03.29</t>
    <phoneticPr fontId="1" type="noConversion"/>
  </si>
  <si>
    <t>（112）WS(265k箱涵)字第1120329003號</t>
    <phoneticPr fontId="1" type="noConversion"/>
  </si>
  <si>
    <t>112.04.06</t>
    <phoneticPr fontId="1" type="noConversion"/>
  </si>
  <si>
    <t>聯嘉字第
1120406002號</t>
    <phoneticPr fontId="1" type="noConversion"/>
  </si>
  <si>
    <t>1125.03.10</t>
    <phoneticPr fontId="1" type="noConversion"/>
  </si>
  <si>
    <t>聯嘉字第
1120310001號</t>
    <phoneticPr fontId="1" type="noConversion"/>
  </si>
  <si>
    <t>（112）WS(265k箱涵)字第1120329001號</t>
    <phoneticPr fontId="1" type="noConversion"/>
  </si>
  <si>
    <t>（112）WS(265k箱涵)字第1120407002號</t>
    <phoneticPr fontId="1" type="noConversion"/>
  </si>
  <si>
    <t>112.04.10</t>
    <phoneticPr fontId="1" type="noConversion"/>
  </si>
  <si>
    <t>聯嘉字第
1120410004號</t>
    <phoneticPr fontId="1" type="noConversion"/>
  </si>
  <si>
    <t>（112）WS(265k箱涵)字第1120329002號</t>
    <phoneticPr fontId="1" type="noConversion"/>
  </si>
  <si>
    <t>112.03.30</t>
    <phoneticPr fontId="1" type="noConversion"/>
  </si>
  <si>
    <t>聯嘉字第
1120330001號</t>
  </si>
  <si>
    <t>（112）WS(265k箱涵)字第1120407001號</t>
  </si>
  <si>
    <t>112.04.12</t>
    <phoneticPr fontId="1" type="noConversion"/>
  </si>
  <si>
    <t>聯嘉字第
1120412001號</t>
    <phoneticPr fontId="1" type="noConversion"/>
  </si>
  <si>
    <t>（112）WS(265k箱涵)字第1120406001號</t>
    <phoneticPr fontId="1" type="noConversion"/>
  </si>
  <si>
    <t>112.04.13</t>
    <phoneticPr fontId="1" type="noConversion"/>
  </si>
  <si>
    <t>聯嘉字第
1120410001號</t>
    <phoneticPr fontId="1" type="noConversion"/>
  </si>
  <si>
    <t>（112）WS(265k箱涵)字第1120406003號</t>
    <phoneticPr fontId="1" type="noConversion"/>
  </si>
  <si>
    <t>聯嘉字第
1120410003號</t>
    <phoneticPr fontId="1" type="noConversion"/>
  </si>
  <si>
    <t>（112）WS(265k箱涵)字第1120411002號</t>
    <phoneticPr fontId="1" type="noConversion"/>
  </si>
  <si>
    <t>聯嘉字第
1120412002號</t>
    <phoneticPr fontId="1" type="noConversion"/>
  </si>
  <si>
    <t>112.04.17</t>
    <phoneticPr fontId="1" type="noConversion"/>
  </si>
  <si>
    <t>（112）WS(265k箱涵)字第1120417001號</t>
    <phoneticPr fontId="1" type="noConversion"/>
  </si>
  <si>
    <t>（112）WS(265k箱涵)字第1120417002號</t>
    <phoneticPr fontId="1" type="noConversion"/>
  </si>
  <si>
    <t>21_1</t>
    <phoneticPr fontId="1" type="noConversion"/>
  </si>
  <si>
    <t>整體交通安全與維持計畫書(修正一版)</t>
    <phoneticPr fontId="1" type="noConversion"/>
  </si>
  <si>
    <t>聯嘉字第
1120325004號</t>
    <phoneticPr fontId="1" type="noConversion"/>
  </si>
  <si>
    <t>21_2</t>
    <phoneticPr fontId="1" type="noConversion"/>
  </si>
  <si>
    <t>交通安全與維持計畫(國道1號主線封閉)</t>
    <phoneticPr fontId="1" type="noConversion"/>
  </si>
  <si>
    <t>（112）WS(265k箱涵)字第1120330001號</t>
    <phoneticPr fontId="1" type="noConversion"/>
  </si>
  <si>
    <t>聯嘉字第
1120407002號</t>
    <phoneticPr fontId="1" type="noConversion"/>
  </si>
  <si>
    <t>21_3</t>
    <phoneticPr fontId="1" type="noConversion"/>
  </si>
  <si>
    <t>交通安全與維持計畫(國道1號第一階段)</t>
    <phoneticPr fontId="1" type="noConversion"/>
  </si>
  <si>
    <t>（112）WS(265k箱涵)字第1120411001號</t>
    <phoneticPr fontId="1" type="noConversion"/>
  </si>
  <si>
    <t>聯嘉字第
1120417001號</t>
    <phoneticPr fontId="1" type="noConversion"/>
  </si>
  <si>
    <t>112.05.08</t>
    <phoneticPr fontId="1" type="noConversion"/>
  </si>
  <si>
    <t>（112）WS(265k箱涵)字第1120508001號</t>
    <phoneticPr fontId="1" type="noConversion"/>
  </si>
  <si>
    <t>112.05.12</t>
    <phoneticPr fontId="1" type="noConversion"/>
  </si>
  <si>
    <t>聯嘉字第
1120512003號</t>
  </si>
  <si>
    <t>112年5月22日
南新字第
1122261008號</t>
    <phoneticPr fontId="1" type="noConversion"/>
  </si>
  <si>
    <t>112年4月24日
南工字第
1122260826號</t>
    <phoneticPr fontId="1" type="noConversion"/>
  </si>
  <si>
    <t>施工測量控制暨作業計畫</t>
    <phoneticPr fontId="1" type="noConversion"/>
  </si>
  <si>
    <t>112.04.18</t>
    <phoneticPr fontId="1" type="noConversion"/>
  </si>
  <si>
    <t>聯嘉字第
1120418001號</t>
    <phoneticPr fontId="1" type="noConversion"/>
  </si>
  <si>
    <t>112.05.09</t>
    <phoneticPr fontId="1" type="noConversion"/>
  </si>
  <si>
    <t>（112）WS(265k箱涵)字第1120509001號</t>
    <phoneticPr fontId="6" type="noConversion"/>
  </si>
  <si>
    <t>聯嘉字第
1120512002號</t>
  </si>
  <si>
    <t>112年4月24日
南工字第
1122260827號</t>
    <phoneticPr fontId="1" type="noConversion"/>
  </si>
  <si>
    <t>112年4月20日
南新字第
1125160632號</t>
    <phoneticPr fontId="1" type="noConversion"/>
  </si>
  <si>
    <t>聯嘉字第
1120329001號</t>
    <phoneticPr fontId="1" type="noConversion"/>
  </si>
  <si>
    <t>112年4月21日
南新字第
1125160633號</t>
    <phoneticPr fontId="1" type="noConversion"/>
  </si>
  <si>
    <t>112.04.25</t>
    <phoneticPr fontId="1" type="noConversion"/>
  </si>
  <si>
    <t>（112）WS(265k箱涵)字第1120425002號</t>
    <phoneticPr fontId="1" type="noConversion"/>
  </si>
  <si>
    <t>112.04.27</t>
    <phoneticPr fontId="1" type="noConversion"/>
  </si>
  <si>
    <t>聯嘉字第
1120427001號</t>
    <phoneticPr fontId="1" type="noConversion"/>
  </si>
  <si>
    <t>112年4月14日
南新字第
1120016048號</t>
    <phoneticPr fontId="1" type="noConversion"/>
  </si>
  <si>
    <t>112年4月24日
南新字第
1125160649號</t>
    <phoneticPr fontId="1" type="noConversion"/>
  </si>
  <si>
    <t>112.04.19</t>
    <phoneticPr fontId="1" type="noConversion"/>
  </si>
  <si>
    <t>聯嘉字第
1120419003號</t>
    <phoneticPr fontId="1" type="noConversion"/>
  </si>
  <si>
    <t>聯嘉字第
1120419002號</t>
    <phoneticPr fontId="1" type="noConversion"/>
  </si>
  <si>
    <t>（112）WS(265k箱涵)字第1120322001號</t>
    <phoneticPr fontId="1" type="noConversion"/>
  </si>
  <si>
    <t>（112）WS(265k箱
涵)字第1120508002號</t>
    <phoneticPr fontId="1" type="noConversion"/>
  </si>
  <si>
    <t>聯嘉字第
1120512001號</t>
    <phoneticPr fontId="1" type="noConversion"/>
  </si>
  <si>
    <t>112.05.17</t>
    <phoneticPr fontId="1" type="noConversion"/>
  </si>
  <si>
    <t>（112）WS(265k箱涵)字第1120517002號</t>
  </si>
  <si>
    <t>112.05.18</t>
    <phoneticPr fontId="1" type="noConversion"/>
  </si>
  <si>
    <t>聯嘉字第
1120518001號</t>
    <phoneticPr fontId="6" type="noConversion"/>
  </si>
  <si>
    <t>112.05.24</t>
    <phoneticPr fontId="1" type="noConversion"/>
  </si>
  <si>
    <t>（112）WS(265k箱涵)字第1120524002號</t>
  </si>
  <si>
    <t>更新時間：112/5/31</t>
    <phoneticPr fontId="1" type="noConversion"/>
  </si>
  <si>
    <t>全套管基樁施工計畫</t>
    <phoneticPr fontId="1" type="noConversion"/>
  </si>
  <si>
    <t>112年5月12日
聯嘉字第
1120512002號</t>
    <phoneticPr fontId="1" type="noConversion"/>
  </si>
  <si>
    <t>112年6月6日
南工字第1122261121號</t>
    <phoneticPr fontId="1" type="noConversion"/>
  </si>
  <si>
    <t>112年4月19日
聯嘉字第
1120419003號</t>
    <phoneticPr fontId="1" type="noConversion"/>
  </si>
  <si>
    <t>112年4月19日
聯嘉字第
1120419002號備查</t>
    <phoneticPr fontId="1" type="noConversion"/>
  </si>
  <si>
    <t>112年6月5日
南工字第1122261120號</t>
    <phoneticPr fontId="1" type="noConversion"/>
  </si>
  <si>
    <t>112年6月8日
南工字第11222611414函核定</t>
    <phoneticPr fontId="1" type="noConversion"/>
  </si>
  <si>
    <t>112.05.29</t>
    <phoneticPr fontId="1" type="noConversion"/>
  </si>
  <si>
    <t>聯嘉字第
1120529001號</t>
    <phoneticPr fontId="6" type="noConversion"/>
  </si>
  <si>
    <t>112.07.20</t>
    <phoneticPr fontId="1" type="noConversion"/>
  </si>
  <si>
    <t>（112）WS(265k箱涵)字第1120720002號</t>
    <phoneticPr fontId="1" type="noConversion"/>
  </si>
  <si>
    <t>112.07.24</t>
    <phoneticPr fontId="1" type="noConversion"/>
  </si>
  <si>
    <t>聯嘉字第
1120724001號</t>
    <phoneticPr fontId="6" type="noConversion"/>
  </si>
  <si>
    <t>（112）WS(265k箱涵)字第1120818002號</t>
    <phoneticPr fontId="1" type="noConversion"/>
  </si>
  <si>
    <t>112.08.18</t>
    <phoneticPr fontId="1" type="noConversion"/>
  </si>
  <si>
    <t>（112）WS(265k箱涵)字第1120823002號</t>
    <phoneticPr fontId="1" type="noConversion"/>
  </si>
  <si>
    <t>112.08.23</t>
    <phoneticPr fontId="1" type="noConversion"/>
  </si>
  <si>
    <t>聯嘉字第1120811001號</t>
    <phoneticPr fontId="1" type="noConversion"/>
  </si>
  <si>
    <t>112.08.11</t>
    <phoneticPr fontId="1" type="noConversion"/>
  </si>
  <si>
    <t>（112）WS(265k箱涵)字第1120808002號</t>
    <phoneticPr fontId="1" type="noConversion"/>
  </si>
  <si>
    <t>112.08.08</t>
    <phoneticPr fontId="1" type="noConversion"/>
  </si>
  <si>
    <r>
      <t xml:space="preserve">112.08.07
</t>
    </r>
    <r>
      <rPr>
        <sz val="10"/>
        <rFont val="標楷體"/>
        <family val="4"/>
        <charset val="136"/>
      </rPr>
      <t>聯嘉字第1120807001號</t>
    </r>
    <phoneticPr fontId="1" type="noConversion"/>
  </si>
  <si>
    <t>（112）WS(265k箱涵)字第1120801001號</t>
    <phoneticPr fontId="1" type="noConversion"/>
  </si>
  <si>
    <t>112.08.01</t>
    <phoneticPr fontId="1" type="noConversion"/>
  </si>
  <si>
    <t>道路改道第一階段施工期間主線改道平面線形施工圖</t>
    <phoneticPr fontId="1" type="noConversion"/>
  </si>
  <si>
    <r>
      <t xml:space="preserve">2023/7/3
</t>
    </r>
    <r>
      <rPr>
        <sz val="10"/>
        <rFont val="標楷體"/>
        <family val="4"/>
        <charset val="136"/>
      </rPr>
      <t>聯嘉字第1120703002號</t>
    </r>
    <phoneticPr fontId="1" type="noConversion"/>
  </si>
  <si>
    <t>（112）WS(265k箱涵)字第1120626001號</t>
  </si>
  <si>
    <t>聯嘉字第
1120523003號</t>
    <phoneticPr fontId="1" type="noConversion"/>
  </si>
  <si>
    <t>112.05.23</t>
    <phoneticPr fontId="1" type="noConversion"/>
  </si>
  <si>
    <t>（112）WS(265k箱涵)字第1120517001號</t>
    <phoneticPr fontId="1" type="noConversion"/>
  </si>
  <si>
    <t>施工圍籬施工圖</t>
    <phoneticPr fontId="1" type="noConversion"/>
  </si>
  <si>
    <r>
      <t xml:space="preserve">112.05.26
</t>
    </r>
    <r>
      <rPr>
        <sz val="10"/>
        <rFont val="標楷體"/>
        <family val="4"/>
        <charset val="136"/>
      </rPr>
      <t>聯嘉字第1120526002號</t>
    </r>
    <phoneticPr fontId="1" type="noConversion"/>
  </si>
  <si>
    <t>（112）WS(265k箱涵)字第1120524003號</t>
    <phoneticPr fontId="1" type="noConversion"/>
  </si>
  <si>
    <t>預鑄RC護欄施工圖</t>
    <phoneticPr fontId="1" type="noConversion"/>
  </si>
  <si>
    <t>更新時間：112/8/28</t>
    <phoneticPr fontId="1" type="noConversion"/>
  </si>
  <si>
    <t xml:space="preserve">施工圖送審管制表                                </t>
    <phoneticPr fontId="1" type="noConversion"/>
  </si>
  <si>
    <t>112.11.30</t>
    <phoneticPr fontId="1" type="noConversion"/>
  </si>
  <si>
    <t>國道1號265k+286排水箱涵改建工程
112年9月27日施工進度協調會</t>
    <phoneticPr fontId="1" type="noConversion"/>
  </si>
  <si>
    <t>112.09.18</t>
    <phoneticPr fontId="1" type="noConversion"/>
  </si>
  <si>
    <t>（112）WS(265k箱涵)字第1120918002號</t>
    <phoneticPr fontId="1" type="noConversion"/>
  </si>
  <si>
    <t>112.09.25</t>
    <phoneticPr fontId="1" type="noConversion"/>
  </si>
  <si>
    <t>聯嘉字第1120925001號</t>
    <phoneticPr fontId="1" type="noConversion"/>
  </si>
  <si>
    <t>112.08.24</t>
    <phoneticPr fontId="1" type="noConversion"/>
  </si>
  <si>
    <t>聯嘉字第1120824001號</t>
    <phoneticPr fontId="1" type="noConversion"/>
  </si>
  <si>
    <t>112.09.01</t>
    <phoneticPr fontId="1" type="noConversion"/>
  </si>
  <si>
    <t>（112）WS(265k箱涵)字第1120901001號</t>
    <phoneticPr fontId="1" type="noConversion"/>
  </si>
  <si>
    <t>112.09.08</t>
    <phoneticPr fontId="1" type="noConversion"/>
  </si>
  <si>
    <t>聯嘉字第1120908003號</t>
    <phoneticPr fontId="1" type="noConversion"/>
  </si>
  <si>
    <t>112.08.29</t>
    <phoneticPr fontId="1" type="noConversion"/>
  </si>
  <si>
    <t>聯嘉字第
1120829001號</t>
    <phoneticPr fontId="6" type="noConversion"/>
  </si>
  <si>
    <t>112.09.05</t>
    <phoneticPr fontId="1" type="noConversion"/>
  </si>
  <si>
    <t>（112）WS(265k箱涵)字第1120905003號</t>
    <phoneticPr fontId="1" type="noConversion"/>
  </si>
  <si>
    <t>112.09.07</t>
    <phoneticPr fontId="1" type="noConversion"/>
  </si>
  <si>
    <t>聯嘉字第1120907005號</t>
    <phoneticPr fontId="1" type="noConversion"/>
  </si>
  <si>
    <t>（112）WS(265k箱涵)字第1120829002號</t>
    <phoneticPr fontId="1" type="noConversion"/>
  </si>
  <si>
    <t>112.08.30</t>
    <phoneticPr fontId="1" type="noConversion"/>
  </si>
  <si>
    <t>聯嘉字第1120830001號</t>
    <phoneticPr fontId="1" type="noConversion"/>
  </si>
  <si>
    <t>112年9月14日
南新字第1125161526號函核定</t>
    <phoneticPr fontId="1" type="noConversion"/>
  </si>
  <si>
    <t>112.08.15</t>
    <phoneticPr fontId="1" type="noConversion"/>
  </si>
  <si>
    <t>（112）WS(265k箱涵)字第1120815001號</t>
    <phoneticPr fontId="1" type="noConversion"/>
  </si>
  <si>
    <t>112.08.22</t>
    <phoneticPr fontId="1" type="noConversion"/>
  </si>
  <si>
    <t>聯嘉字第1120822002號</t>
    <phoneticPr fontId="1" type="noConversion"/>
  </si>
  <si>
    <t>112.08.31</t>
    <phoneticPr fontId="1" type="noConversion"/>
  </si>
  <si>
    <t>（112）WS(265k箱涵)字第1120831001號</t>
    <phoneticPr fontId="1" type="noConversion"/>
  </si>
  <si>
    <t>聯嘉字第1120907001號</t>
    <phoneticPr fontId="1" type="noConversion"/>
  </si>
  <si>
    <t>112年9月14日
南新字第1125161527號函核定</t>
    <phoneticPr fontId="1" type="noConversion"/>
  </si>
  <si>
    <t>臨時擋土支撐設施施工計畫</t>
    <phoneticPr fontId="1" type="noConversion"/>
  </si>
  <si>
    <t>緊急災害應變計畫</t>
    <phoneticPr fontId="1" type="noConversion"/>
  </si>
  <si>
    <t>管線試挖計畫</t>
    <phoneticPr fontId="1" type="noConversion"/>
  </si>
  <si>
    <t>公共管線調查報告
(含公共管線保護計畫)</t>
    <phoneticPr fontId="1" type="noConversion"/>
  </si>
  <si>
    <t>瀝青混凝土鋪築計畫</t>
    <phoneticPr fontId="1" type="noConversion"/>
  </si>
  <si>
    <t>標誌標線(標記)施工計畫</t>
    <phoneticPr fontId="1" type="noConversion"/>
  </si>
  <si>
    <t>路堤填築施工計畫</t>
  </si>
  <si>
    <t>局限空間災害防止計畫</t>
    <phoneticPr fontId="1" type="noConversion"/>
  </si>
  <si>
    <t>舊箱涵打除施工計畫</t>
    <phoneticPr fontId="1" type="noConversion"/>
  </si>
  <si>
    <t>交控管線臨遷計畫</t>
    <phoneticPr fontId="1" type="noConversion"/>
  </si>
  <si>
    <t>混凝土裂縫、剝落及蜂窩修補澆置計畫</t>
    <phoneticPr fontId="1" type="noConversion"/>
  </si>
  <si>
    <t>石籠及拋石施工計畫</t>
    <phoneticPr fontId="1" type="noConversion"/>
  </si>
  <si>
    <t>預力施拉計算書</t>
    <phoneticPr fontId="1" type="noConversion"/>
  </si>
  <si>
    <t>施工前90日提出</t>
    <phoneticPr fontId="1" type="noConversion"/>
  </si>
  <si>
    <t>橋面伸縮縫施工計畫</t>
    <phoneticPr fontId="1" type="noConversion"/>
  </si>
  <si>
    <t>製造生產前</t>
    <phoneticPr fontId="1" type="noConversion"/>
  </si>
  <si>
    <t>112.12.30</t>
    <phoneticPr fontId="1" type="noConversion"/>
  </si>
  <si>
    <t>（112）WS(265k箱涵)字第1120908002號</t>
    <phoneticPr fontId="1" type="noConversion"/>
  </si>
  <si>
    <t>112.09.13</t>
    <phoneticPr fontId="1" type="noConversion"/>
  </si>
  <si>
    <t>聯嘉字第1120913001號</t>
    <phoneticPr fontId="1" type="noConversion"/>
  </si>
  <si>
    <t>112.09.20</t>
    <phoneticPr fontId="1" type="noConversion"/>
  </si>
  <si>
    <t>（112）WS(265k箱涵)字第1120920001號</t>
    <phoneticPr fontId="1" type="noConversion"/>
  </si>
  <si>
    <t>112.09.22</t>
    <phoneticPr fontId="1" type="noConversion"/>
  </si>
  <si>
    <t>聯嘉字第1120922006號</t>
    <phoneticPr fontId="1" type="noConversion"/>
  </si>
  <si>
    <t>植栽工程施工計畫</t>
    <phoneticPr fontId="1" type="noConversion"/>
  </si>
  <si>
    <t>竣工文件製作計畫</t>
    <phoneticPr fontId="1" type="noConversion"/>
  </si>
  <si>
    <t>完工前6個月</t>
    <phoneticPr fontId="1" type="noConversion"/>
  </si>
  <si>
    <t>施工安全風險管理報告書</t>
    <phoneticPr fontId="1" type="noConversion"/>
  </si>
  <si>
    <t>於契約竣工日
前45天</t>
    <phoneticPr fontId="1" type="noConversion"/>
  </si>
  <si>
    <t>112.06.06</t>
    <phoneticPr fontId="1" type="noConversion"/>
  </si>
  <si>
    <t>5</t>
    <phoneticPr fontId="1" type="noConversion"/>
  </si>
  <si>
    <t>6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</si>
  <si>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</si>
  <si>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</si>
  <si>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</si>
  <si>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</si>
  <si>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</si>
  <si>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環境監測計畫</t>
    <phoneticPr fontId="1" type="noConversion"/>
  </si>
  <si>
    <t>聯嘉字第1121003004號</t>
    <phoneticPr fontId="1" type="noConversion"/>
  </si>
  <si>
    <t>112.10.03</t>
    <phoneticPr fontId="1" type="noConversion"/>
  </si>
  <si>
    <t>112.09.28</t>
    <phoneticPr fontId="1" type="noConversion"/>
  </si>
  <si>
    <t>聯嘉字第1121003003號</t>
    <phoneticPr fontId="1" type="noConversion"/>
  </si>
  <si>
    <t>（112）WS(265k箱涵)字第1120928001號</t>
  </si>
  <si>
    <t>聯嘉字第1120606002號</t>
    <phoneticPr fontId="1" type="noConversion"/>
  </si>
  <si>
    <t>（112）WS(265k箱涵)字第1120601002號</t>
    <phoneticPr fontId="1" type="noConversion"/>
  </si>
  <si>
    <t>112.06.01</t>
    <phoneticPr fontId="1" type="noConversion"/>
  </si>
  <si>
    <t>工地品質及安衛雲端管理應用計畫</t>
    <phoneticPr fontId="1" type="noConversion"/>
  </si>
  <si>
    <t>第一階段交通安全與維持計畫</t>
    <phoneticPr fontId="1" type="noConversion"/>
  </si>
  <si>
    <t>國道1號主線封閉交通安全與維持計畫</t>
    <phoneticPr fontId="1" type="noConversion"/>
  </si>
  <si>
    <t>施工安全風險評估計畫</t>
    <phoneticPr fontId="1" type="noConversion"/>
  </si>
  <si>
    <t>聯嘉字第1121004004號</t>
    <phoneticPr fontId="1" type="noConversion"/>
  </si>
  <si>
    <t>112.10.04</t>
    <phoneticPr fontId="1" type="noConversion"/>
  </si>
  <si>
    <t>（112）WS(265k箱涵)字第1120928006號</t>
    <phoneticPr fontId="1" type="noConversion"/>
  </si>
  <si>
    <t>施工測量計畫</t>
    <phoneticPr fontId="1" type="noConversion"/>
  </si>
  <si>
    <t>4</t>
    <phoneticPr fontId="1" type="noConversion"/>
  </si>
  <si>
    <t>3-1</t>
    <phoneticPr fontId="1" type="noConversion"/>
  </si>
  <si>
    <t>（112）WS(265k箱涵)字第1121130005號</t>
    <phoneticPr fontId="1" type="noConversion"/>
  </si>
  <si>
    <t>112.12.07</t>
    <phoneticPr fontId="1" type="noConversion"/>
  </si>
  <si>
    <t>聯嘉字第1121207003號</t>
    <phoneticPr fontId="1" type="noConversion"/>
  </si>
  <si>
    <t>112.12.06</t>
    <phoneticPr fontId="1" type="noConversion"/>
  </si>
  <si>
    <t>整體施工計畫(修正一版)</t>
    <phoneticPr fontId="1" type="noConversion"/>
  </si>
  <si>
    <t>品質計畫(修訂一版)</t>
    <phoneticPr fontId="1" type="noConversion"/>
  </si>
  <si>
    <t>職業安全衛生管理計畫(修訂一版)</t>
    <phoneticPr fontId="1" type="noConversion"/>
  </si>
  <si>
    <t>聯嘉字第1120331004號</t>
    <phoneticPr fontId="1" type="noConversion"/>
  </si>
  <si>
    <t>聯嘉字第
1120512002號</t>
    <phoneticPr fontId="1" type="noConversion"/>
  </si>
  <si>
    <t>113.01.10</t>
    <phoneticPr fontId="1" type="noConversion"/>
  </si>
  <si>
    <t>（113）WS(265k箱涵)字第1130110001號</t>
    <phoneticPr fontId="1" type="noConversion"/>
  </si>
  <si>
    <t>113.01.16</t>
    <phoneticPr fontId="1" type="noConversion"/>
  </si>
  <si>
    <t>聯嘉字第1130116001號</t>
    <phoneticPr fontId="1" type="noConversion"/>
  </si>
  <si>
    <t>（112）WS(265k箱涵)字第1120928002號</t>
    <phoneticPr fontId="1" type="noConversion"/>
  </si>
  <si>
    <t>墜落災害防止計畫</t>
    <phoneticPr fontId="1" type="noConversion"/>
  </si>
  <si>
    <t>113.01.22</t>
    <phoneticPr fontId="1" type="noConversion"/>
  </si>
  <si>
    <t>聯嘉字第1130122001號</t>
    <phoneticPr fontId="1" type="noConversion"/>
  </si>
  <si>
    <t>橋台及預力中空板梁施工計畫</t>
    <phoneticPr fontId="1" type="noConversion"/>
  </si>
  <si>
    <t>（112）WS(265k箱涵)字第1121227002號</t>
    <phoneticPr fontId="1" type="noConversion"/>
  </si>
  <si>
    <t>聯嘉字第1130104007號</t>
    <phoneticPr fontId="1" type="noConversion"/>
  </si>
  <si>
    <t>補充地質鑽探調查報告書</t>
    <phoneticPr fontId="1" type="noConversion"/>
  </si>
  <si>
    <t>台電161KV高壓管線探管計畫</t>
    <phoneticPr fontId="1" type="noConversion"/>
  </si>
  <si>
    <t>112.11.03</t>
    <phoneticPr fontId="1" type="noConversion"/>
  </si>
  <si>
    <t>（112）WS(265K箱涵)字第1121103001號</t>
    <phoneticPr fontId="1" type="noConversion"/>
  </si>
  <si>
    <t>112.11.08</t>
    <phoneticPr fontId="1" type="noConversion"/>
  </si>
  <si>
    <t>聯嘉字第1121108003號</t>
    <phoneticPr fontId="1" type="noConversion"/>
  </si>
  <si>
    <t>112.11.29</t>
    <phoneticPr fontId="1" type="noConversion"/>
  </si>
  <si>
    <t>（112）WS(265k箱涵)字第1121129004號</t>
    <phoneticPr fontId="1" type="noConversion"/>
  </si>
  <si>
    <t>安全監測計畫</t>
    <phoneticPr fontId="1" type="noConversion"/>
  </si>
  <si>
    <t>（112）WS(265k箱涵)字第1121130003號</t>
    <phoneticPr fontId="1" type="noConversion"/>
  </si>
  <si>
    <t>聯嘉字第1121206004號</t>
    <phoneticPr fontId="1" type="noConversion"/>
  </si>
  <si>
    <t xml:space="preserve"> </t>
    <phoneticPr fontId="1" type="noConversion"/>
  </si>
  <si>
    <t>113.12.31</t>
    <phoneticPr fontId="1" type="noConversion"/>
  </si>
  <si>
    <t>113.05.30</t>
    <phoneticPr fontId="1" type="noConversion"/>
  </si>
  <si>
    <t>113.01.24</t>
    <phoneticPr fontId="1" type="noConversion"/>
  </si>
  <si>
    <t>113.01.30</t>
    <phoneticPr fontId="1" type="noConversion"/>
  </si>
  <si>
    <t>（113）WS(265k箱涵)字第1130124001號</t>
    <phoneticPr fontId="1" type="noConversion"/>
  </si>
  <si>
    <t>112.01.29</t>
    <phoneticPr fontId="1" type="noConversion"/>
  </si>
  <si>
    <t>聯嘉字第1130129005號</t>
    <phoneticPr fontId="1" type="noConversion"/>
  </si>
  <si>
    <t>（113）WS(265k箱涵)字第1130124003號</t>
    <phoneticPr fontId="1" type="noConversion"/>
  </si>
  <si>
    <t>113.01.25</t>
    <phoneticPr fontId="1" type="noConversion"/>
  </si>
  <si>
    <t>聯嘉字第
1130125003號</t>
    <phoneticPr fontId="1" type="noConversion"/>
  </si>
  <si>
    <t>預力施工計畫書</t>
    <phoneticPr fontId="1" type="noConversion"/>
  </si>
  <si>
    <t>113.01.31</t>
    <phoneticPr fontId="1" type="noConversion"/>
  </si>
  <si>
    <t>113.01.30</t>
    <phoneticPr fontId="1" type="noConversion"/>
  </si>
  <si>
    <t>（113）WS(265k箱涵)字第1130130001號</t>
    <phoneticPr fontId="1" type="noConversion"/>
  </si>
  <si>
    <t>聯嘉字第1130207001號</t>
    <phoneticPr fontId="1" type="noConversion"/>
  </si>
  <si>
    <t>113.02.23</t>
    <phoneticPr fontId="1" type="noConversion"/>
  </si>
  <si>
    <t>（113）WS(265k箱涵)字第1130223001號</t>
    <phoneticPr fontId="1" type="noConversion"/>
  </si>
  <si>
    <t>113.02.26</t>
    <phoneticPr fontId="1" type="noConversion"/>
  </si>
  <si>
    <t>（112）WS(265k箱涵)字第1120918002號</t>
    <phoneticPr fontId="1" type="noConversion"/>
  </si>
  <si>
    <t>（113）WS(265k箱涵)字第1130226006號</t>
    <phoneticPr fontId="1" type="noConversion"/>
  </si>
  <si>
    <t>113.01.25</t>
    <phoneticPr fontId="1" type="noConversion"/>
  </si>
  <si>
    <t>112.12.27</t>
    <phoneticPr fontId="1" type="noConversion"/>
  </si>
  <si>
    <t>（113）WS(265k箱涵)字第1130125005號</t>
    <phoneticPr fontId="1" type="noConversion"/>
  </si>
  <si>
    <t>113.01.29</t>
    <phoneticPr fontId="1" type="noConversion"/>
  </si>
  <si>
    <t>聯嘉字第1130129004號</t>
    <phoneticPr fontId="1" type="noConversion"/>
  </si>
  <si>
    <t>結構混凝土澆置施工計畫</t>
    <phoneticPr fontId="1" type="noConversion"/>
  </si>
  <si>
    <t>113.03.01</t>
    <phoneticPr fontId="1" type="noConversion"/>
  </si>
  <si>
    <t>聯嘉字第1130301001號</t>
    <phoneticPr fontId="1" type="noConversion"/>
  </si>
  <si>
    <t>113.04.30</t>
    <phoneticPr fontId="1" type="noConversion"/>
  </si>
  <si>
    <t>113.03.04</t>
    <phoneticPr fontId="1" type="noConversion"/>
  </si>
  <si>
    <t>聯嘉字第1130304005號</t>
    <phoneticPr fontId="1" type="noConversion"/>
  </si>
  <si>
    <t>楊明浩</t>
    <phoneticPr fontId="1" type="noConversion"/>
  </si>
  <si>
    <t>林昀臻</t>
    <phoneticPr fontId="1" type="noConversion"/>
  </si>
  <si>
    <t>杜文斌</t>
    <phoneticPr fontId="1" type="noConversion"/>
  </si>
  <si>
    <t>112.05.22</t>
    <phoneticPr fontId="1" type="noConversion"/>
  </si>
  <si>
    <t>（112）WS(265k箱涵)字第1120522001號</t>
    <phoneticPr fontId="1" type="noConversion"/>
  </si>
  <si>
    <t>112.06.05</t>
    <phoneticPr fontId="1" type="noConversion"/>
  </si>
  <si>
    <t>113.03.13</t>
    <phoneticPr fontId="1" type="noConversion"/>
  </si>
  <si>
    <t>113.03.12</t>
    <phoneticPr fontId="1" type="noConversion"/>
  </si>
  <si>
    <t>（113）WS(265k箱涵)字第1130312004號</t>
    <phoneticPr fontId="1" type="noConversion"/>
  </si>
  <si>
    <t>（113）WS(265k箱涵)字第1130313001號</t>
    <phoneticPr fontId="1" type="noConversion"/>
  </si>
  <si>
    <t>113.03.19</t>
    <phoneticPr fontId="1" type="noConversion"/>
  </si>
  <si>
    <t>（113）WS(265k箱涵)字第1130319003號</t>
    <phoneticPr fontId="1" type="noConversion"/>
  </si>
  <si>
    <t>113.03.08</t>
    <phoneticPr fontId="1" type="noConversion"/>
  </si>
  <si>
    <t>（113）WS(265k箱涵)字第1130308002號</t>
    <phoneticPr fontId="1" type="noConversion"/>
  </si>
  <si>
    <t>113.03.15</t>
    <phoneticPr fontId="1" type="noConversion"/>
  </si>
  <si>
    <t>聯嘉字第1130315001號</t>
    <phoneticPr fontId="1" type="noConversion"/>
  </si>
  <si>
    <t>（113）WS(265k箱涵)字第1130319001號</t>
    <phoneticPr fontId="1" type="noConversion"/>
  </si>
  <si>
    <t>（113）WS(265k箱涵)字第1130116001號</t>
    <phoneticPr fontId="1" type="noConversion"/>
  </si>
  <si>
    <t>112.01.15</t>
    <phoneticPr fontId="1" type="noConversion"/>
  </si>
  <si>
    <t>112.01.13</t>
    <phoneticPr fontId="1" type="noConversion"/>
  </si>
  <si>
    <t>112.03.16</t>
    <phoneticPr fontId="1" type="noConversion"/>
  </si>
  <si>
    <t>112.03.18</t>
    <phoneticPr fontId="1" type="noConversion"/>
  </si>
  <si>
    <t>112.04.14</t>
    <phoneticPr fontId="1" type="noConversion"/>
  </si>
  <si>
    <t>承包商
送審日期</t>
    <phoneticPr fontId="6" type="noConversion"/>
  </si>
  <si>
    <t>監造
函覆日期</t>
    <phoneticPr fontId="6" type="noConversion"/>
  </si>
  <si>
    <t>112.02.07</t>
    <phoneticPr fontId="1" type="noConversion"/>
  </si>
  <si>
    <t>113.01.04</t>
    <phoneticPr fontId="1" type="noConversion"/>
  </si>
  <si>
    <t>113.02.07</t>
    <phoneticPr fontId="1" type="noConversion"/>
  </si>
  <si>
    <t>113.02.06</t>
    <phoneticPr fontId="1" type="noConversion"/>
  </si>
  <si>
    <t>112年9月25日
聯嘉字第
1120925001號函核定</t>
    <phoneticPr fontId="1" type="noConversion"/>
  </si>
  <si>
    <t>112年8月24日
聯嘉字第
1120824001號函核定</t>
    <phoneticPr fontId="1" type="noConversion"/>
  </si>
  <si>
    <t>112年5月12日
聯嘉字第
1120512002號函核定</t>
    <phoneticPr fontId="1" type="noConversion"/>
  </si>
  <si>
    <t>113年1月25日
聯嘉字第
1130125003號函核定</t>
    <phoneticPr fontId="1" type="noConversion"/>
  </si>
  <si>
    <t>112年4月19日
聯嘉字第
1120419003號函核定</t>
    <phoneticPr fontId="1" type="noConversion"/>
  </si>
  <si>
    <t>112年4月19日
聯嘉字第
1120419002號函核定</t>
    <phoneticPr fontId="1" type="noConversion"/>
  </si>
  <si>
    <t>112年10月3日
聯嘉字第
1121003003號函核定</t>
    <phoneticPr fontId="1" type="noConversion"/>
  </si>
  <si>
    <t>112年10月3日
聯嘉字第
1121003004號函核定</t>
    <phoneticPr fontId="1" type="noConversion"/>
  </si>
  <si>
    <t>113年1月22日
聯嘉字第
1130122001號函核定</t>
    <phoneticPr fontId="1" type="noConversion"/>
  </si>
  <si>
    <t>113年1月29日
聯嘉字第
1130129004號函核定</t>
    <phoneticPr fontId="1" type="noConversion"/>
  </si>
  <si>
    <t>112年9月8日
聯嘉字第
1120908003號函核定</t>
    <phoneticPr fontId="1" type="noConversion"/>
  </si>
  <si>
    <t>113年3月1日
聯嘉字第
1130301001號函核定</t>
    <phoneticPr fontId="1" type="noConversion"/>
  </si>
  <si>
    <t>112年9月22日
聯嘉字第
1120922006號函核定</t>
    <phoneticPr fontId="1" type="noConversion"/>
  </si>
  <si>
    <t>112年10月27日
聯嘉字第
1121027002號函核定</t>
    <phoneticPr fontId="1" type="noConversion"/>
  </si>
  <si>
    <t>112年11月8日
聯嘉字第
1121108003號函核定</t>
    <phoneticPr fontId="1" type="noConversion"/>
  </si>
  <si>
    <t>112年12月6日
聯嘉字第
1121206004號函核定</t>
    <phoneticPr fontId="1" type="noConversion"/>
  </si>
  <si>
    <t>112年3月15日
南工字第
1122260543函核定</t>
    <phoneticPr fontId="1" type="noConversion"/>
  </si>
  <si>
    <t>112年4月24日
南工字第
1122260826號函核定</t>
    <phoneticPr fontId="1" type="noConversion"/>
  </si>
  <si>
    <t>112年4月24日
南工字第
1122260827號函核定</t>
    <phoneticPr fontId="1" type="noConversion"/>
  </si>
  <si>
    <t>112年3月15日
南工字第
112220546號函核定</t>
    <phoneticPr fontId="1" type="noConversion"/>
  </si>
  <si>
    <t>112年3月15日
南工字第
1122260541號函核定</t>
    <phoneticPr fontId="1" type="noConversion"/>
  </si>
  <si>
    <t>112年4月20日
南新字第
1125160632號函核定</t>
    <phoneticPr fontId="1" type="noConversion"/>
  </si>
  <si>
    <t>112年4月21日
南新字第
1125160633號函核定</t>
    <phoneticPr fontId="1" type="noConversion"/>
  </si>
  <si>
    <t>112年6月6日
南工字第
1122261121號函核定</t>
    <phoneticPr fontId="1" type="noConversion"/>
  </si>
  <si>
    <t>112年4月14日
南新字第
1120016048號函核定</t>
    <phoneticPr fontId="1" type="noConversion"/>
  </si>
  <si>
    <t>112年4月24日
南新字第
1125160649號函核定</t>
    <phoneticPr fontId="1" type="noConversion"/>
  </si>
  <si>
    <t>112年3月15日
南工字第
1122260547號函核定</t>
    <phoneticPr fontId="1" type="noConversion"/>
  </si>
  <si>
    <t>112年3月16日
南工字第
1122260558號函核定</t>
    <phoneticPr fontId="1" type="noConversion"/>
  </si>
  <si>
    <t>112年6月5日
南工字第
1122261120號函核定</t>
    <phoneticPr fontId="1" type="noConversion"/>
  </si>
  <si>
    <t>112年6月8日
南工字第
1122261141號函核定</t>
    <phoneticPr fontId="1" type="noConversion"/>
  </si>
  <si>
    <t>112年9月14日
南新字第
1125161526號函核定</t>
    <phoneticPr fontId="1" type="noConversion"/>
  </si>
  <si>
    <t>112年9月14日
南新字第
1125161527號函核定</t>
    <phoneticPr fontId="1" type="noConversion"/>
  </si>
  <si>
    <t>112年6月13日
南新字第
1125160976號函核定</t>
    <phoneticPr fontId="1" type="noConversion"/>
  </si>
  <si>
    <t>112年12月21日              南工字第
1122262505號函核定</t>
    <phoneticPr fontId="1" type="noConversion"/>
  </si>
  <si>
    <t>聯嘉字第1130319006號</t>
    <phoneticPr fontId="1" type="noConversion"/>
  </si>
  <si>
    <t>113.03.21</t>
    <phoneticPr fontId="1" type="noConversion"/>
  </si>
  <si>
    <t>聯嘉字第1130321001號</t>
    <phoneticPr fontId="1" type="noConversion"/>
  </si>
  <si>
    <t>無此分項計畫，無須提送</t>
    <phoneticPr fontId="1" type="noConversion"/>
  </si>
  <si>
    <t>無局限空間作業，無須提送</t>
    <phoneticPr fontId="1" type="noConversion"/>
  </si>
  <si>
    <t>（113）WS(265k箱涵)字第1130319002號</t>
    <phoneticPr fontId="1" type="noConversion"/>
  </si>
  <si>
    <t>（113）WS(265k箱涵)字第1130319006號</t>
    <phoneticPr fontId="1" type="noConversion"/>
  </si>
  <si>
    <t>113.03.26</t>
    <phoneticPr fontId="1" type="noConversion"/>
  </si>
  <si>
    <t>聯嘉字第1130326001號</t>
    <phoneticPr fontId="1" type="noConversion"/>
  </si>
  <si>
    <t>113年3月26日
聯嘉字第
1130326001號函核定</t>
    <phoneticPr fontId="1" type="noConversion"/>
  </si>
  <si>
    <t>聯嘉字第1130326006號</t>
    <phoneticPr fontId="1" type="noConversion"/>
  </si>
  <si>
    <t>113年3月26日
聯嘉字第
1130326006號函核定</t>
    <phoneticPr fontId="1" type="noConversion"/>
  </si>
  <si>
    <t>徐裕欽</t>
    <phoneticPr fontId="1" type="noConversion"/>
  </si>
  <si>
    <t>113.03.29</t>
    <phoneticPr fontId="1" type="noConversion"/>
  </si>
  <si>
    <t>（112）WS(265k箱涵)字第1130329001號</t>
    <phoneticPr fontId="1" type="noConversion"/>
  </si>
  <si>
    <t>113.03.28</t>
    <phoneticPr fontId="1" type="noConversion"/>
  </si>
  <si>
    <t>聯嘉字第1130328002號</t>
    <phoneticPr fontId="1" type="noConversion"/>
  </si>
  <si>
    <t>聯嘉字第1130319005號</t>
    <phoneticPr fontId="1" type="noConversion"/>
  </si>
  <si>
    <t>113.03.25</t>
    <phoneticPr fontId="1" type="noConversion"/>
  </si>
  <si>
    <t>（113）WS(265k箱涵)字第1130325003號</t>
    <phoneticPr fontId="1" type="noConversion"/>
  </si>
  <si>
    <t>113.04.01</t>
    <phoneticPr fontId="1" type="noConversion"/>
  </si>
  <si>
    <t>聯嘉字第1130401001號</t>
    <phoneticPr fontId="1" type="noConversion"/>
  </si>
  <si>
    <t>113年4月1日
聯嘉字第
1130401001號函核定</t>
    <phoneticPr fontId="1" type="noConversion"/>
  </si>
  <si>
    <t>47-1</t>
    <phoneticPr fontId="1" type="noConversion"/>
  </si>
  <si>
    <t>安全監測計畫(修正一版)</t>
    <phoneticPr fontId="1" type="noConversion"/>
  </si>
  <si>
    <t>113.03.27</t>
    <phoneticPr fontId="1" type="noConversion"/>
  </si>
  <si>
    <t>（113）WS(265k箱涵)字第1130327001號</t>
    <phoneticPr fontId="1" type="noConversion"/>
  </si>
  <si>
    <t>113.04.02</t>
    <phoneticPr fontId="1" type="noConversion"/>
  </si>
  <si>
    <t>聯嘉字第1130402002號</t>
    <phoneticPr fontId="1" type="noConversion"/>
  </si>
  <si>
    <t>113年4月2日
聯嘉字第
1130402002號函核定</t>
    <phoneticPr fontId="1" type="noConversion"/>
  </si>
  <si>
    <t>營建土石方處理計畫(修訂一版)</t>
    <phoneticPr fontId="1" type="noConversion"/>
  </si>
  <si>
    <t>112年5月22日
南工字第
1122261008號函核定</t>
    <phoneticPr fontId="1" type="noConversion"/>
  </si>
  <si>
    <t>歸檔情形</t>
    <phoneticPr fontId="1" type="noConversion"/>
  </si>
  <si>
    <t>紙本</t>
    <phoneticPr fontId="1" type="noConversion"/>
  </si>
  <si>
    <t>備註</t>
    <phoneticPr fontId="1" type="noConversion"/>
  </si>
  <si>
    <t>（112）WS(265k箱涵)字第1120928003號</t>
    <phoneticPr fontId="1" type="noConversion"/>
  </si>
  <si>
    <t>112.10.02</t>
    <phoneticPr fontId="1" type="noConversion"/>
  </si>
  <si>
    <t>聯嘉字第1121002001號</t>
    <phoneticPr fontId="1" type="noConversion"/>
  </si>
  <si>
    <t>112年10月2日
聯嘉字第
1121002001號函核定</t>
    <phoneticPr fontId="1" type="noConversion"/>
  </si>
  <si>
    <t>預力地錨(試錨)結構檢核計算書</t>
    <phoneticPr fontId="1" type="noConversion"/>
  </si>
  <si>
    <t>PDF</t>
    <phoneticPr fontId="1" type="noConversion"/>
  </si>
  <si>
    <t>第一階段開挖擋土支撐結構檢核計算</t>
    <phoneticPr fontId="1" type="noConversion"/>
  </si>
  <si>
    <t>112.11.17</t>
    <phoneticPr fontId="1" type="noConversion"/>
  </si>
  <si>
    <t>（112）WS(265k箱涵)字第1121117003號</t>
    <phoneticPr fontId="1" type="noConversion"/>
  </si>
  <si>
    <t>聯嘉字第1121129001號</t>
    <phoneticPr fontId="1" type="noConversion"/>
  </si>
  <si>
    <t>（112）WS(265k箱涵)字第1121206001號</t>
    <phoneticPr fontId="1" type="noConversion"/>
  </si>
  <si>
    <t>112.12.18</t>
    <phoneticPr fontId="1" type="noConversion"/>
  </si>
  <si>
    <t>113.01.15</t>
    <phoneticPr fontId="1" type="noConversion"/>
  </si>
  <si>
    <t>（112）WS(265k箱涵)字第1130115002號</t>
    <phoneticPr fontId="1" type="noConversion"/>
  </si>
  <si>
    <t>聯嘉字第1130122004號</t>
    <phoneticPr fontId="1" type="noConversion"/>
  </si>
  <si>
    <t>113年1月22日
聯嘉字第
1130122004號函核定</t>
    <phoneticPr fontId="1" type="noConversion"/>
  </si>
  <si>
    <t>V</t>
    <phoneticPr fontId="1" type="noConversion"/>
  </si>
  <si>
    <t>整體交通安全與維持計畫書</t>
    <phoneticPr fontId="1" type="noConversion"/>
  </si>
  <si>
    <t>21-1</t>
    <phoneticPr fontId="1" type="noConversion"/>
  </si>
  <si>
    <t>21-2</t>
  </si>
  <si>
    <t>21-3</t>
  </si>
  <si>
    <t>21-4</t>
  </si>
  <si>
    <t>國道1號主線封閉交通安全與維持計畫(修正一版)</t>
    <phoneticPr fontId="1" type="noConversion"/>
  </si>
  <si>
    <t>112年10月31日
南工字第
1125161761號函核定</t>
    <phoneticPr fontId="1" type="noConversion"/>
  </si>
  <si>
    <t>22-1</t>
    <phoneticPr fontId="1" type="noConversion"/>
  </si>
  <si>
    <t>112年8月2日
南新字第
1120029936號函核定</t>
    <phoneticPr fontId="1" type="noConversion"/>
  </si>
  <si>
    <t>（113）WS(265k箱涵)字第1130402001號</t>
    <phoneticPr fontId="1" type="noConversion"/>
  </si>
  <si>
    <t>更新時間：113/4/9</t>
    <phoneticPr fontId="1" type="noConversion"/>
  </si>
  <si>
    <t>聯嘉字第1130402004號</t>
    <phoneticPr fontId="1" type="noConversion"/>
  </si>
  <si>
    <t>聯嘉字第1130402005號</t>
    <phoneticPr fontId="1" type="noConversion"/>
  </si>
  <si>
    <t>職業安全衛生警示標誌及標語設置計畫</t>
    <phoneticPr fontId="1" type="noConversion"/>
  </si>
  <si>
    <t>聯嘉字第1121201006號</t>
    <phoneticPr fontId="1" type="noConversion"/>
  </si>
  <si>
    <t>紙本在品管</t>
    <phoneticPr fontId="1" type="noConversion"/>
  </si>
  <si>
    <t>紙本在職安</t>
    <phoneticPr fontId="1" type="noConversion"/>
  </si>
  <si>
    <t>2</t>
    <phoneticPr fontId="1" type="noConversion"/>
  </si>
  <si>
    <t>預力地錨確認試驗報告</t>
    <phoneticPr fontId="1" type="noConversion"/>
  </si>
  <si>
    <t>（113）WS(265k箱涵)字第1130226002號</t>
    <phoneticPr fontId="1" type="noConversion"/>
  </si>
  <si>
    <t>更新時間：113/4/10</t>
    <phoneticPr fontId="1" type="noConversion"/>
  </si>
  <si>
    <t>聯嘉字第1130304002號</t>
    <phoneticPr fontId="1" type="noConversion"/>
  </si>
  <si>
    <t>（113）WS(265k箱涵)字第1130308001號</t>
    <phoneticPr fontId="1" type="noConversion"/>
  </si>
  <si>
    <t>113.03.11</t>
    <phoneticPr fontId="1" type="noConversion"/>
  </si>
  <si>
    <t>聯嘉字第1130311003號</t>
    <phoneticPr fontId="1" type="noConversion"/>
  </si>
  <si>
    <t>預力鋼鍵地錨現場適用性及接收試驗報告</t>
    <phoneticPr fontId="1" type="noConversion"/>
  </si>
  <si>
    <t>（113）WS(265k箱涵)字第1130226005號</t>
    <phoneticPr fontId="1" type="noConversion"/>
  </si>
  <si>
    <t>聯嘉字第1130304006號</t>
    <phoneticPr fontId="1" type="noConversion"/>
  </si>
  <si>
    <t>（113）WS(265k箱涵)字第1130308003號</t>
    <phoneticPr fontId="1" type="noConversion"/>
  </si>
  <si>
    <t>聯嘉字第1130311002號</t>
    <phoneticPr fontId="1" type="noConversion"/>
  </si>
  <si>
    <t>113年3月11日
聯嘉字第
1130311003號函核定</t>
    <phoneticPr fontId="1" type="noConversion"/>
  </si>
  <si>
    <t>113年3月11日
聯嘉字第
1130311002號函核定</t>
    <phoneticPr fontId="1" type="noConversion"/>
  </si>
  <si>
    <t xml:space="preserve">計算書送審管制表                                </t>
    <phoneticPr fontId="1" type="noConversion"/>
  </si>
  <si>
    <t xml:space="preserve">廠商檢測性報告送審管制表                                </t>
    <phoneticPr fontId="1" type="noConversion"/>
  </si>
  <si>
    <t>屬於道路、橋梁工程依法規規定無須提送，已發函詢問嘉義縣環境保護局</t>
    <phoneticPr fontId="1" type="noConversion"/>
  </si>
  <si>
    <t>113.04.11</t>
    <phoneticPr fontId="1" type="noConversion"/>
  </si>
  <si>
    <t>聯嘉字第1130411003號</t>
    <phoneticPr fontId="1" type="noConversion"/>
  </si>
  <si>
    <t>113年4月11日
聯嘉字第
1130411003號函核定</t>
    <phoneticPr fontId="1" type="noConversion"/>
  </si>
  <si>
    <t>更新時間：113/4/16</t>
    <phoneticPr fontId="1" type="noConversion"/>
  </si>
  <si>
    <t>113.04.15</t>
    <phoneticPr fontId="1" type="noConversion"/>
  </si>
  <si>
    <t>（113）WS(265k箱涵)字第1130329002號</t>
    <phoneticPr fontId="1" type="noConversion"/>
  </si>
  <si>
    <t>（113）WS(265k箱涵)字第1130415002號</t>
    <phoneticPr fontId="1" type="noConversion"/>
  </si>
  <si>
    <t>（113）WS(265k箱涵)字第1130415003號</t>
    <phoneticPr fontId="1" type="noConversion"/>
  </si>
  <si>
    <t>113.04.16</t>
    <phoneticPr fontId="1" type="noConversion"/>
  </si>
  <si>
    <t>聯嘉字第1130416002號</t>
    <phoneticPr fontId="1" type="noConversion"/>
  </si>
  <si>
    <t>113年4月16日
聯嘉字第
1130416001號函核定</t>
    <phoneticPr fontId="1" type="noConversion"/>
  </si>
  <si>
    <t>113年4月16日
聯嘉字第
1130416002號函核定</t>
    <phoneticPr fontId="1" type="noConversion"/>
  </si>
  <si>
    <t>（112）WS(265k箱涵)字第1120808002號</t>
    <phoneticPr fontId="1" type="noConversion"/>
  </si>
  <si>
    <t>113.04.22</t>
    <phoneticPr fontId="1" type="noConversion"/>
  </si>
  <si>
    <t>（112）WS(265k箱涵)字第1120829002號</t>
    <phoneticPr fontId="1" type="noConversion"/>
  </si>
  <si>
    <t>（113）WS(265k箱涵)字第1130422002號</t>
    <phoneticPr fontId="1" type="noConversion"/>
  </si>
  <si>
    <t>預力地錨確認試驗報告</t>
    <phoneticPr fontId="1" type="noConversion"/>
  </si>
  <si>
    <t>113.02.26</t>
    <phoneticPr fontId="1" type="noConversion"/>
  </si>
  <si>
    <t>（113）WS(265k箱涵)字第1130226002號</t>
    <phoneticPr fontId="1" type="noConversion"/>
  </si>
  <si>
    <t>112.03.04</t>
    <phoneticPr fontId="1" type="noConversion"/>
  </si>
  <si>
    <t>聯嘉字第1130304002號</t>
    <phoneticPr fontId="1" type="noConversion"/>
  </si>
  <si>
    <t>113.03.08</t>
    <phoneticPr fontId="1" type="noConversion"/>
  </si>
  <si>
    <t>（113）WS(265k箱涵)字第1130308001號</t>
    <phoneticPr fontId="1" type="noConversion"/>
  </si>
  <si>
    <t>113.03.11</t>
    <phoneticPr fontId="1" type="noConversion"/>
  </si>
  <si>
    <t>聯嘉字第1130311003號</t>
    <phoneticPr fontId="1" type="noConversion"/>
  </si>
  <si>
    <t>113年03月11日
聯嘉字第
1130311003號函核定</t>
    <phoneticPr fontId="1" type="noConversion"/>
  </si>
  <si>
    <t>賴泉忠</t>
    <phoneticPr fontId="1" type="noConversion"/>
  </si>
  <si>
    <t>杜文斌(紙本1130424補)</t>
    <phoneticPr fontId="1" type="noConversion"/>
  </si>
  <si>
    <t>林昀臻</t>
    <phoneticPr fontId="1" type="noConversion"/>
  </si>
  <si>
    <t>杜文斌</t>
    <phoneticPr fontId="1" type="noConversion"/>
  </si>
  <si>
    <t>杜文斌</t>
    <phoneticPr fontId="1" type="noConversion"/>
  </si>
  <si>
    <t>賴泉忠</t>
    <phoneticPr fontId="1" type="noConversion"/>
  </si>
  <si>
    <t>林瑋聖、(原)林昀臻</t>
    <phoneticPr fontId="1" type="noConversion"/>
  </si>
  <si>
    <t>林瑋聖、(原)林昀臻</t>
    <phoneticPr fontId="1" type="noConversion"/>
  </si>
  <si>
    <t>林瑋聖、(原)林昀臻</t>
    <phoneticPr fontId="1" type="noConversion"/>
  </si>
  <si>
    <t>（112）WS(265k箱涵)字第1120823002號</t>
    <phoneticPr fontId="1" type="noConversion"/>
  </si>
  <si>
    <t>聯嘉字第1120824001號</t>
    <phoneticPr fontId="1" type="noConversion"/>
  </si>
  <si>
    <t>7</t>
    <phoneticPr fontId="1" type="noConversion"/>
  </si>
  <si>
    <t>混凝土面打毛與環氧樹脂黏著劑施工計畫</t>
    <phoneticPr fontId="1" type="noConversion"/>
  </si>
  <si>
    <t>預定施工日期30日前提送</t>
    <phoneticPr fontId="1" type="noConversion"/>
  </si>
  <si>
    <t>113.05.30</t>
    <phoneticPr fontId="1" type="noConversion"/>
  </si>
  <si>
    <t>113.04.23</t>
    <phoneticPr fontId="1" type="noConversion"/>
  </si>
  <si>
    <t>（113）WS(265k箱涵)字第1130423001號</t>
    <phoneticPr fontId="1" type="noConversion"/>
  </si>
  <si>
    <t>113.04.29</t>
    <phoneticPr fontId="1" type="noConversion"/>
  </si>
  <si>
    <t>聯嘉字第1130429001號</t>
    <phoneticPr fontId="1" type="noConversion"/>
  </si>
  <si>
    <t>113.05.08</t>
    <phoneticPr fontId="1" type="noConversion"/>
  </si>
  <si>
    <t>（113）WS(265k箱涵)字第11300508001號</t>
    <phoneticPr fontId="1" type="noConversion"/>
  </si>
  <si>
    <t>113.05.13</t>
    <phoneticPr fontId="1" type="noConversion"/>
  </si>
  <si>
    <t>聯嘉字第1130513001號</t>
    <phoneticPr fontId="1" type="noConversion"/>
  </si>
  <si>
    <t>林瑋聖</t>
    <phoneticPr fontId="1" type="noConversion"/>
  </si>
  <si>
    <t>113年5月13日
聯嘉字第
1130513001號函核定</t>
    <phoneticPr fontId="1" type="noConversion"/>
  </si>
  <si>
    <t>112年12月07日
聯嘉字第
1121207003號函核定</t>
    <phoneticPr fontId="1" type="noConversion"/>
  </si>
  <si>
    <t>112.09.18</t>
    <phoneticPr fontId="1" type="noConversion"/>
  </si>
  <si>
    <t>112.10.03</t>
    <phoneticPr fontId="1" type="noConversion"/>
  </si>
  <si>
    <t>（112）WS(265k箱涵)字第1120918001號</t>
    <phoneticPr fontId="1" type="noConversion"/>
  </si>
  <si>
    <t>（112）WS(265k箱涵)字第11210003001號</t>
    <phoneticPr fontId="1" type="noConversion"/>
  </si>
  <si>
    <t>112.10.27</t>
    <phoneticPr fontId="1" type="noConversion"/>
  </si>
  <si>
    <t>聯嘉字第1120918005號</t>
    <phoneticPr fontId="1" type="noConversion"/>
  </si>
  <si>
    <t>聯嘉字第1121027002號</t>
    <phoneticPr fontId="1" type="noConversion"/>
  </si>
  <si>
    <t>112.09.15</t>
    <phoneticPr fontId="1" type="noConversion"/>
  </si>
  <si>
    <t>（112）WS(265k箱涵)字第1120915002號</t>
    <phoneticPr fontId="1" type="noConversion"/>
  </si>
  <si>
    <t>112.11.13</t>
    <phoneticPr fontId="1" type="noConversion"/>
  </si>
  <si>
    <t>依南區養護工程分局112年11月13日男新字第1125161849號函退回修正</t>
    <phoneticPr fontId="1" type="noConversion"/>
  </si>
  <si>
    <t>112.12.01</t>
    <phoneticPr fontId="1" type="noConversion"/>
  </si>
  <si>
    <t>112年12月01日
聯嘉字第
1121201006號函轉</t>
    <phoneticPr fontId="1" type="noConversion"/>
  </si>
  <si>
    <t>施工安全防護計畫</t>
    <phoneticPr fontId="1" type="noConversion"/>
  </si>
  <si>
    <t>施工前30日提出</t>
    <phoneticPr fontId="1" type="noConversion"/>
  </si>
  <si>
    <t>113.06.30</t>
    <phoneticPr fontId="1" type="noConversion"/>
  </si>
  <si>
    <t>113.06.19</t>
    <phoneticPr fontId="1" type="noConversion"/>
  </si>
  <si>
    <t>（113）WS(265k箱涵)字第1130125004號</t>
    <phoneticPr fontId="1" type="noConversion"/>
  </si>
  <si>
    <t>113.06.25</t>
    <phoneticPr fontId="1" type="noConversion"/>
  </si>
  <si>
    <t>聯嘉字第1130206001號</t>
    <phoneticPr fontId="1" type="noConversion"/>
  </si>
  <si>
    <t>聯嘉字第11306250047號</t>
    <phoneticPr fontId="1" type="noConversion"/>
  </si>
  <si>
    <t>113年6月25日
聯嘉字第
1130326002號函核定</t>
    <phoneticPr fontId="1" type="noConversion"/>
  </si>
  <si>
    <t>施工照相計畫</t>
    <phoneticPr fontId="1" type="noConversion"/>
  </si>
  <si>
    <t>113.07.18</t>
    <phoneticPr fontId="1" type="noConversion"/>
  </si>
  <si>
    <t>（113）WS(265k箱涵)字第1130718002號</t>
    <phoneticPr fontId="1" type="noConversion"/>
  </si>
  <si>
    <t>113.07.25</t>
    <phoneticPr fontId="1" type="noConversion"/>
  </si>
  <si>
    <t>聯嘉字第1130725002號</t>
    <phoneticPr fontId="1" type="noConversion"/>
  </si>
  <si>
    <t>113年7月25日
聯嘉字第
1130725002號函核定</t>
    <phoneticPr fontId="1" type="noConversion"/>
  </si>
  <si>
    <t>20240919公務會議告知取消</t>
    <phoneticPr fontId="1" type="noConversion"/>
  </si>
  <si>
    <t>預力中空版量及橋台工程模板應力結構安全計算檢核</t>
    <phoneticPr fontId="1" type="noConversion"/>
  </si>
  <si>
    <t>113.08.20</t>
    <phoneticPr fontId="1" type="noConversion"/>
  </si>
  <si>
    <t>（113）WS(265k箱涵)字第1130820001號</t>
    <phoneticPr fontId="1" type="noConversion"/>
  </si>
  <si>
    <t>113.08.21</t>
    <phoneticPr fontId="1" type="noConversion"/>
  </si>
  <si>
    <t>聯嘉字第1130821001號</t>
    <phoneticPr fontId="1" type="noConversion"/>
  </si>
  <si>
    <t>01</t>
    <phoneticPr fontId="1" type="noConversion"/>
  </si>
  <si>
    <t>02</t>
    <phoneticPr fontId="1" type="noConversion"/>
  </si>
  <si>
    <t>112.10.30</t>
    <phoneticPr fontId="1" type="noConversion"/>
  </si>
  <si>
    <t>112.11.30</t>
    <phoneticPr fontId="1" type="noConversion"/>
  </si>
  <si>
    <t>預力中空版梁施工三角他架支撐結構檢核計算</t>
    <phoneticPr fontId="1" type="noConversion"/>
  </si>
  <si>
    <t>預定施工日期30日前提送</t>
    <phoneticPr fontId="1" type="noConversion"/>
  </si>
  <si>
    <t>113.09.30</t>
    <phoneticPr fontId="1" type="noConversion"/>
  </si>
  <si>
    <t>113.07.08</t>
    <phoneticPr fontId="1" type="noConversion"/>
  </si>
  <si>
    <t>（113）WS(265k箱涵)字第1130708002號</t>
    <phoneticPr fontId="1" type="noConversion"/>
  </si>
  <si>
    <t>113.07.15</t>
    <phoneticPr fontId="1" type="noConversion"/>
  </si>
  <si>
    <t>聯嘉字第1130715002號</t>
    <phoneticPr fontId="1" type="noConversion"/>
  </si>
  <si>
    <t>113.08.06</t>
    <phoneticPr fontId="1" type="noConversion"/>
  </si>
  <si>
    <t>113.08.08</t>
    <phoneticPr fontId="1" type="noConversion"/>
  </si>
  <si>
    <t>113年8月21日
聯嘉字第
1130821001號函核定</t>
    <phoneticPr fontId="1" type="noConversion"/>
  </si>
  <si>
    <t>113年8月8日
聯嘉字第
1130808002號函核定</t>
    <phoneticPr fontId="1" type="noConversion"/>
  </si>
  <si>
    <t>預定施工日期30日前提送</t>
    <phoneticPr fontId="1" type="noConversion"/>
  </si>
  <si>
    <t>113.09.30</t>
    <phoneticPr fontId="1" type="noConversion"/>
  </si>
  <si>
    <t>113.07.17</t>
    <phoneticPr fontId="1" type="noConversion"/>
  </si>
  <si>
    <t>（113）WS(265k箱涵)字第1130717001號</t>
    <phoneticPr fontId="1" type="noConversion"/>
  </si>
  <si>
    <t>113.07.31</t>
    <phoneticPr fontId="1" type="noConversion"/>
  </si>
  <si>
    <t>聯嘉字第1130731001號</t>
    <phoneticPr fontId="1" type="noConversion"/>
  </si>
  <si>
    <t>113年7月31日
聯嘉字第
1130731001號函核定</t>
    <phoneticPr fontId="1" type="noConversion"/>
  </si>
  <si>
    <t>第二階段開挖擋土支撐結構檢核計算
(水平支撐)</t>
    <phoneticPr fontId="1" type="noConversion"/>
  </si>
  <si>
    <t>113.08.21</t>
    <phoneticPr fontId="1" type="noConversion"/>
  </si>
  <si>
    <t>（113）WS(265k箱涵)字第1130821001號</t>
    <phoneticPr fontId="1" type="noConversion"/>
  </si>
  <si>
    <t>113.08.26</t>
    <phoneticPr fontId="1" type="noConversion"/>
  </si>
  <si>
    <t>聯嘉字第1130826001號</t>
    <phoneticPr fontId="1" type="noConversion"/>
  </si>
  <si>
    <t>113.08.27</t>
    <phoneticPr fontId="1" type="noConversion"/>
  </si>
  <si>
    <t>（113）WS(265k箱涵)字第1131206001號</t>
    <phoneticPr fontId="1" type="noConversion"/>
  </si>
  <si>
    <t>（113）WS(265k箱涵)字第1130827002號</t>
    <phoneticPr fontId="1" type="noConversion"/>
  </si>
  <si>
    <t>113.08.28</t>
    <phoneticPr fontId="1" type="noConversion"/>
  </si>
  <si>
    <t>聯嘉字第1130808002號</t>
    <phoneticPr fontId="1" type="noConversion"/>
  </si>
  <si>
    <t>113年8月28日
聯嘉字第
1130828001號函核定</t>
    <phoneticPr fontId="1" type="noConversion"/>
  </si>
  <si>
    <t>護岸擋土牆開挖擋土支撐結構檢核計算</t>
    <phoneticPr fontId="1" type="noConversion"/>
  </si>
  <si>
    <t>114.03.30</t>
    <phoneticPr fontId="1" type="noConversion"/>
  </si>
  <si>
    <t>113.09.11</t>
    <phoneticPr fontId="1" type="noConversion"/>
  </si>
  <si>
    <t>（113）WS(265k箱涵)字第1130911001號</t>
    <phoneticPr fontId="1" type="noConversion"/>
  </si>
  <si>
    <t>113.09.18</t>
    <phoneticPr fontId="1" type="noConversion"/>
  </si>
  <si>
    <t>聯嘉字第1130918002號</t>
    <phoneticPr fontId="1" type="noConversion"/>
  </si>
  <si>
    <t>113.09.26</t>
    <phoneticPr fontId="1" type="noConversion"/>
  </si>
  <si>
    <t>（113）WS(265k箱涵)字第1130926001號</t>
    <phoneticPr fontId="1" type="noConversion"/>
  </si>
  <si>
    <t>113.09.30</t>
    <phoneticPr fontId="1" type="noConversion"/>
  </si>
  <si>
    <t>聯嘉字第1130828001號</t>
    <phoneticPr fontId="1" type="noConversion"/>
  </si>
  <si>
    <t>聯嘉字第1130930001號</t>
    <phoneticPr fontId="1" type="noConversion"/>
  </si>
  <si>
    <t>113年9月30日
聯嘉字第
1130930001號函核定</t>
    <phoneticPr fontId="1" type="noConversion"/>
  </si>
  <si>
    <t>臨時翼牆結構檢核計算</t>
    <phoneticPr fontId="1" type="noConversion"/>
  </si>
  <si>
    <t>113.10.30</t>
    <phoneticPr fontId="1" type="noConversion"/>
  </si>
  <si>
    <t>113.10.07</t>
    <phoneticPr fontId="1" type="noConversion"/>
  </si>
  <si>
    <t>（113）WS(265k箱涵)字第1131007001號</t>
    <phoneticPr fontId="1" type="noConversion"/>
  </si>
  <si>
    <t>113.10.09</t>
    <phoneticPr fontId="1" type="noConversion"/>
  </si>
  <si>
    <t>聯嘉字第1131009003號</t>
    <phoneticPr fontId="1" type="noConversion"/>
  </si>
  <si>
    <t>113.10.14</t>
    <phoneticPr fontId="1" type="noConversion"/>
  </si>
  <si>
    <t>（113）WS(265k箱涵)字第1131014001號</t>
    <phoneticPr fontId="1" type="noConversion"/>
  </si>
  <si>
    <t>113.10.16</t>
    <phoneticPr fontId="1" type="noConversion"/>
  </si>
  <si>
    <t>聯嘉字第1131016001號</t>
    <phoneticPr fontId="1" type="noConversion"/>
  </si>
  <si>
    <t>113年10月16日
聯嘉字第
1131016001號函核定</t>
    <phoneticPr fontId="1" type="noConversion"/>
  </si>
  <si>
    <t>第三階段明挖邊坡穩定檢討及臨時翼牆結構檢核計算</t>
    <phoneticPr fontId="1" type="noConversion"/>
  </si>
  <si>
    <t>114.01.30</t>
    <phoneticPr fontId="1" type="noConversion"/>
  </si>
  <si>
    <t>113.12.30</t>
    <phoneticPr fontId="1" type="noConversion"/>
  </si>
  <si>
    <t>（113）WS(265k箱涵)字第1131230001號</t>
    <phoneticPr fontId="1" type="noConversion"/>
  </si>
  <si>
    <t>114.02.20</t>
    <phoneticPr fontId="1" type="noConversion"/>
  </si>
  <si>
    <t>聯嘉字第1140109002號</t>
    <phoneticPr fontId="1" type="noConversion"/>
  </si>
  <si>
    <t>114年01月09日
聯嘉字第
1140109002號函核定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</si>
  <si>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</si>
  <si>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</si>
  <si>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</si>
  <si>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</si>
  <si>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</si>
  <si>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07-1</t>
    <phoneticPr fontId="1" type="noConversion"/>
  </si>
  <si>
    <t>08</t>
    <phoneticPr fontId="1" type="noConversion"/>
  </si>
  <si>
    <t>09</t>
    <phoneticPr fontId="1" type="noConversion"/>
  </si>
  <si>
    <t>10</t>
    <phoneticPr fontId="1" type="noConversion"/>
  </si>
  <si>
    <t>預力施拉計算書(第一階段)</t>
    <phoneticPr fontId="1" type="noConversion"/>
  </si>
  <si>
    <t>113.01.30</t>
    <phoneticPr fontId="1" type="noConversion"/>
  </si>
  <si>
    <t>（113）WS(265k箱涵)字第1130130001號</t>
    <phoneticPr fontId="1" type="noConversion"/>
  </si>
  <si>
    <t>113.02.07</t>
    <phoneticPr fontId="1" type="noConversion"/>
  </si>
  <si>
    <t>聯嘉字第1130207001號</t>
    <phoneticPr fontId="1" type="noConversion"/>
  </si>
  <si>
    <t>113.03.19</t>
    <phoneticPr fontId="1" type="noConversion"/>
  </si>
  <si>
    <t>（113）WS(265k箱涵)字第1130319002號</t>
    <phoneticPr fontId="1" type="noConversion"/>
  </si>
  <si>
    <t>113.03.28</t>
    <phoneticPr fontId="1" type="noConversion"/>
  </si>
  <si>
    <t>聯嘉字第1121218002號</t>
    <phoneticPr fontId="1" type="noConversion"/>
  </si>
  <si>
    <t>聯嘉字第1130328002號</t>
    <phoneticPr fontId="1" type="noConversion"/>
  </si>
  <si>
    <t>113.04.02</t>
    <phoneticPr fontId="1" type="noConversion"/>
  </si>
  <si>
    <t>（113）WS(265k箱涵)字第1130402001號</t>
    <phoneticPr fontId="1" type="noConversion"/>
  </si>
  <si>
    <t>1136.4.11</t>
    <phoneticPr fontId="1" type="noConversion"/>
  </si>
  <si>
    <t>113年04月11日
聯嘉字第
1130411003號函核定</t>
    <phoneticPr fontId="1" type="noConversion"/>
  </si>
  <si>
    <t>聯嘉字第1130411003號</t>
    <phoneticPr fontId="1" type="noConversion"/>
  </si>
  <si>
    <t>預力施拉計算書(第二、三階段)</t>
    <phoneticPr fontId="1" type="noConversion"/>
  </si>
  <si>
    <t>113.10.17</t>
    <phoneticPr fontId="1" type="noConversion"/>
  </si>
  <si>
    <t>（113）WS(265k箱涵)字第11314017001號</t>
    <phoneticPr fontId="1" type="noConversion"/>
  </si>
  <si>
    <t>113.10.22</t>
    <phoneticPr fontId="1" type="noConversion"/>
  </si>
  <si>
    <t>聯嘉字第1131022002號</t>
    <phoneticPr fontId="1" type="noConversion"/>
  </si>
  <si>
    <t>113年10月22日
聯嘉字第
1131022002號函核定</t>
    <phoneticPr fontId="1" type="noConversion"/>
  </si>
  <si>
    <t>第二階段開挖擋土支撐結構檢核計算
(已進版為07-1)</t>
    <phoneticPr fontId="1" type="noConversion"/>
  </si>
  <si>
    <t>114.05.30</t>
    <phoneticPr fontId="1" type="noConversion"/>
  </si>
  <si>
    <t>114.07.15</t>
    <phoneticPr fontId="1" type="noConversion"/>
  </si>
  <si>
    <t>114.06.15</t>
    <phoneticPr fontId="1" type="noConversion"/>
  </si>
  <si>
    <t>國道1號265k+286排水箱涵改建工程</t>
    <phoneticPr fontId="1" type="noConversion"/>
  </si>
  <si>
    <t>114.02.19</t>
    <phoneticPr fontId="1" type="noConversion"/>
  </si>
  <si>
    <t>（113）WS(265k箱涵)字第1130619002號</t>
    <phoneticPr fontId="1" type="noConversion"/>
  </si>
  <si>
    <t>（114）WS(265k箱涵)字第1140219004號</t>
    <phoneticPr fontId="1" type="noConversion"/>
  </si>
  <si>
    <t>114.02.25</t>
    <phoneticPr fontId="1" type="noConversion"/>
  </si>
  <si>
    <t>聯嘉字第1140225001號</t>
    <phoneticPr fontId="1" type="noConversion"/>
  </si>
  <si>
    <t>114年2月25日
聯嘉字第
1140225001號函核定</t>
    <phoneticPr fontId="1" type="noConversion"/>
  </si>
  <si>
    <t>林瑋聖、(原)林昀臻
(賴泉忠1140225完成)</t>
    <phoneticPr fontId="1" type="noConversion"/>
  </si>
  <si>
    <t>114.04.30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</si>
</sst>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[$-404]e/m/d;@"/>
  </numFmts>
  <fonts count="3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28"/>
      <name val="標楷體"/>
      <family val="4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6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1"/>
      <name val="標楷體"/>
      <family val="4"/>
      <charset val="136"/>
    </font>
    <font>
      <sz val="10"/>
      <name val="標楷體"/>
      <family val="4"/>
      <charset val="136"/>
    </font>
    <font>
      <sz val="9"/>
      <name val="標楷體"/>
      <family val="4"/>
      <charset val="136"/>
    </font>
    <font>
      <sz val="14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name val="新細明體"/>
      <family val="1"/>
      <charset val="136"/>
    </font>
    <font>
      <sz val="11"/>
      <color theme="1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Microsoft JhengHei"/>
      <family val="4"/>
      <charset val="136"/>
    </font>
  </fonts>
  <fills count="3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9">
    <xf numFmtId="0" fontId="0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19" fillId="0" borderId="0">
      <alignment vertical="center"/>
    </xf>
    <xf numFmtId="0" fontId="17" fillId="0" borderId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9" borderId="0" applyNumberFormat="0" applyBorder="0" applyAlignment="0" applyProtection="0"/>
    <xf numFmtId="0" fontId="20" fillId="12" borderId="0" applyNumberFormat="0" applyBorder="0" applyAlignment="0" applyProtection="0"/>
    <xf numFmtId="0" fontId="20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2" fillId="20" borderId="0" applyNumberFormat="0" applyBorder="0" applyAlignment="0" applyProtection="0"/>
    <xf numFmtId="0" fontId="23" fillId="0" borderId="9" applyNumberFormat="0" applyFill="0" applyAlignment="0" applyProtection="0"/>
    <xf numFmtId="0" fontId="24" fillId="8" borderId="0" applyNumberFormat="0" applyBorder="0" applyAlignment="0" applyProtection="0"/>
    <xf numFmtId="0" fontId="25" fillId="21" borderId="10" applyNumberFormat="0" applyAlignment="0" applyProtection="0"/>
    <xf numFmtId="0" fontId="26" fillId="0" borderId="11" applyNumberFormat="0" applyFill="0" applyAlignment="0" applyProtection="0"/>
    <xf numFmtId="0" fontId="17" fillId="22" borderId="12" applyNumberFormat="0" applyAlignment="0" applyProtection="0"/>
    <xf numFmtId="0" fontId="27" fillId="0" borderId="0" applyNumberFormat="0" applyFill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26" borderId="0" applyNumberFormat="0" applyBorder="0" applyAlignment="0" applyProtection="0"/>
    <xf numFmtId="0" fontId="29" fillId="0" borderId="13" applyNumberFormat="0" applyFill="0" applyAlignment="0" applyProtection="0"/>
    <xf numFmtId="0" fontId="28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31" fillId="0" borderId="15" applyNumberFormat="0" applyFill="0" applyAlignment="0" applyProtection="0"/>
    <xf numFmtId="0" fontId="31" fillId="0" borderId="0" applyNumberFormat="0" applyFill="0" applyBorder="0" applyAlignment="0" applyProtection="0"/>
    <xf numFmtId="0" fontId="32" fillId="11" borderId="10" applyNumberFormat="0" applyAlignment="0" applyProtection="0"/>
    <xf numFmtId="0" fontId="33" fillId="21" borderId="16" applyNumberFormat="0" applyAlignment="0" applyProtection="0"/>
    <xf numFmtId="0" fontId="34" fillId="27" borderId="17" applyNumberFormat="0" applyAlignment="0" applyProtection="0"/>
    <xf numFmtId="0" fontId="35" fillId="7" borderId="0" applyNumberFormat="0" applyBorder="0" applyAlignment="0" applyProtection="0"/>
    <xf numFmtId="0" fontId="36" fillId="0" borderId="0" applyNumberFormat="0" applyFill="0" applyBorder="0" applyAlignment="0" applyProtection="0"/>
  </cellStyleXfs>
  <cellXfs count="180">
    <xf numFmtId="0" fontId="0" fillId="0" borderId="0" xfId="0">
      <alignment vertical="center"/>
    </xf>
    <xf numFmtId="0" fontId="5" fillId="0" borderId="1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2" fillId="0" borderId="0" xfId="2" applyFont="1">
      <alignment vertical="center"/>
    </xf>
    <xf numFmtId="49" fontId="8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2" fillId="0" borderId="1" xfId="2" applyFont="1" applyBorder="1">
      <alignment vertical="center"/>
    </xf>
    <xf numFmtId="0" fontId="10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vertical="center" wrapText="1"/>
    </xf>
    <xf numFmtId="0" fontId="9" fillId="0" borderId="1" xfId="2" applyFont="1" applyBorder="1">
      <alignment vertical="center"/>
    </xf>
    <xf numFmtId="176" fontId="12" fillId="2" borderId="1" xfId="2" quotePrefix="1" applyNumberFormat="1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vertical="center" wrapText="1"/>
    </xf>
    <xf numFmtId="0" fontId="10" fillId="2" borderId="1" xfId="2" applyFont="1" applyFill="1" applyBorder="1" applyAlignment="1">
      <alignment vertical="center" wrapText="1"/>
    </xf>
    <xf numFmtId="177" fontId="11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3" borderId="1" xfId="2" applyFont="1" applyFill="1" applyBorder="1">
      <alignment vertical="center"/>
    </xf>
    <xf numFmtId="0" fontId="9" fillId="3" borderId="1" xfId="2" applyFont="1" applyFill="1" applyBorder="1">
      <alignment vertical="center"/>
    </xf>
    <xf numFmtId="49" fontId="12" fillId="0" borderId="1" xfId="2" quotePrefix="1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vertical="center" wrapText="1"/>
    </xf>
    <xf numFmtId="0" fontId="10" fillId="0" borderId="1" xfId="2" applyFont="1" applyBorder="1" applyAlignment="1">
      <alignment vertical="center" wrapText="1"/>
    </xf>
    <xf numFmtId="177" fontId="11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176" fontId="12" fillId="0" borderId="1" xfId="2" quotePrefix="1" applyNumberFormat="1" applyFont="1" applyBorder="1" applyAlignment="1">
      <alignment horizontal="center" vertical="center" wrapText="1"/>
    </xf>
    <xf numFmtId="0" fontId="15" fillId="0" borderId="1" xfId="2" applyFont="1" applyBorder="1" applyAlignment="1">
      <alignment vertical="center" wrapText="1"/>
    </xf>
    <xf numFmtId="0" fontId="2" fillId="4" borderId="0" xfId="2" applyFont="1" applyFill="1">
      <alignment vertical="center"/>
    </xf>
    <xf numFmtId="177" fontId="12" fillId="2" borderId="1" xfId="2" applyNumberFormat="1" applyFont="1" applyFill="1" applyBorder="1" applyAlignment="1">
      <alignment horizontal="center" vertical="center" wrapText="1"/>
    </xf>
    <xf numFmtId="177" fontId="12" fillId="0" borderId="1" xfId="2" applyNumberFormat="1" applyFont="1" applyBorder="1" applyAlignment="1">
      <alignment horizontal="center" vertical="center" wrapText="1"/>
    </xf>
    <xf numFmtId="177" fontId="11" fillId="2" borderId="1" xfId="2" applyNumberFormat="1" applyFont="1" applyFill="1" applyBorder="1" applyAlignment="1">
      <alignment horizontal="left" vertical="center" wrapText="1"/>
    </xf>
    <xf numFmtId="177" fontId="10" fillId="2" borderId="1" xfId="2" applyNumberFormat="1" applyFont="1" applyFill="1" applyBorder="1" applyAlignment="1">
      <alignment vertical="center" wrapText="1"/>
    </xf>
    <xf numFmtId="0" fontId="2" fillId="0" borderId="1" xfId="2" applyFont="1" applyBorder="1" applyAlignment="1">
      <alignment vertical="center" wrapText="1"/>
    </xf>
    <xf numFmtId="0" fontId="15" fillId="0" borderId="0" xfId="2" applyFont="1">
      <alignment vertical="center"/>
    </xf>
    <xf numFmtId="0" fontId="9" fillId="0" borderId="0" xfId="2" applyFont="1">
      <alignment vertical="center"/>
    </xf>
    <xf numFmtId="0" fontId="2" fillId="0" borderId="0" xfId="2" applyFont="1" applyAlignment="1">
      <alignment vertical="center" wrapText="1"/>
    </xf>
    <xf numFmtId="49" fontId="12" fillId="0" borderId="1" xfId="2" applyNumberFormat="1" applyFont="1" applyBorder="1" applyAlignment="1">
      <alignment horizontal="center" vertical="center" wrapText="1"/>
    </xf>
    <xf numFmtId="0" fontId="2" fillId="2" borderId="1" xfId="2" applyFont="1" applyFill="1" applyBorder="1">
      <alignment vertical="center"/>
    </xf>
    <xf numFmtId="0" fontId="9" fillId="2" borderId="1" xfId="2" applyFont="1" applyFill="1" applyBorder="1">
      <alignment vertical="center"/>
    </xf>
    <xf numFmtId="0" fontId="15" fillId="0" borderId="0" xfId="2" applyFont="1" applyAlignment="1">
      <alignment horizontal="center" vertical="center"/>
    </xf>
    <xf numFmtId="49" fontId="12" fillId="0" borderId="1" xfId="2" applyNumberFormat="1" applyFont="1" applyBorder="1" applyAlignment="1">
      <alignment horizontal="center" vertical="center"/>
    </xf>
    <xf numFmtId="49" fontId="12" fillId="0" borderId="1" xfId="2" applyNumberFormat="1" applyFont="1" applyBorder="1" applyAlignment="1">
      <alignment horizontal="center" vertical="center" wrapText="1" shrinkToFit="1"/>
    </xf>
    <xf numFmtId="49" fontId="12" fillId="2" borderId="1" xfId="2" quotePrefix="1" applyNumberFormat="1" applyFont="1" applyFill="1" applyBorder="1" applyAlignment="1">
      <alignment horizontal="center" vertical="center" wrapText="1"/>
    </xf>
    <xf numFmtId="0" fontId="2" fillId="2" borderId="0" xfId="2" applyFont="1" applyFill="1">
      <alignment vertical="center"/>
    </xf>
    <xf numFmtId="0" fontId="12" fillId="2" borderId="1" xfId="6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/>
    </xf>
    <xf numFmtId="0" fontId="18" fillId="2" borderId="1" xfId="2" applyFont="1" applyFill="1" applyBorder="1" applyAlignment="1">
      <alignment horizontal="center" vertical="center"/>
    </xf>
    <xf numFmtId="0" fontId="18" fillId="2" borderId="1" xfId="2" applyFont="1" applyFill="1" applyBorder="1" applyAlignment="1">
      <alignment horizontal="center" vertical="center" wrapText="1"/>
    </xf>
    <xf numFmtId="0" fontId="16" fillId="2" borderId="0" xfId="2" applyFont="1" applyFill="1">
      <alignment vertical="center"/>
    </xf>
    <xf numFmtId="0" fontId="16" fillId="2" borderId="1" xfId="2" applyFont="1" applyFill="1" applyBorder="1">
      <alignment vertical="center"/>
    </xf>
    <xf numFmtId="176" fontId="12" fillId="2" borderId="8" xfId="2" quotePrefix="1" applyNumberFormat="1" applyFont="1" applyFill="1" applyBorder="1" applyAlignment="1">
      <alignment horizontal="center" vertical="center" wrapText="1"/>
    </xf>
    <xf numFmtId="177" fontId="11" fillId="2" borderId="8" xfId="2" applyNumberFormat="1" applyFont="1" applyFill="1" applyBorder="1" applyAlignment="1">
      <alignment horizontal="left" vertical="center" wrapText="1"/>
    </xf>
    <xf numFmtId="177" fontId="11" fillId="2" borderId="8" xfId="2" applyNumberFormat="1" applyFont="1" applyFill="1" applyBorder="1" applyAlignment="1">
      <alignment horizontal="center" vertical="center" wrapText="1"/>
    </xf>
    <xf numFmtId="177" fontId="12" fillId="2" borderId="8" xfId="2" applyNumberFormat="1" applyFont="1" applyFill="1" applyBorder="1" applyAlignment="1">
      <alignment horizontal="center" vertical="center" wrapText="1"/>
    </xf>
    <xf numFmtId="0" fontId="10" fillId="2" borderId="1" xfId="6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  <xf numFmtId="0" fontId="2" fillId="2" borderId="8" xfId="2" applyFont="1" applyFill="1" applyBorder="1">
      <alignment vertical="center"/>
    </xf>
    <xf numFmtId="0" fontId="9" fillId="2" borderId="8" xfId="2" applyFont="1" applyFill="1" applyBorder="1">
      <alignment vertical="center"/>
    </xf>
    <xf numFmtId="0" fontId="18" fillId="0" borderId="0" xfId="2" applyFont="1" applyAlignment="1">
      <alignment horizontal="center" vertical="center"/>
    </xf>
    <xf numFmtId="0" fontId="15" fillId="2" borderId="1" xfId="2" applyFont="1" applyFill="1" applyBorder="1" applyAlignment="1">
      <alignment vertical="center" wrapText="1"/>
    </xf>
    <xf numFmtId="176" fontId="12" fillId="2" borderId="7" xfId="2" quotePrefix="1" applyNumberFormat="1" applyFont="1" applyFill="1" applyBorder="1" applyAlignment="1">
      <alignment horizontal="center" vertical="center" wrapText="1"/>
    </xf>
    <xf numFmtId="0" fontId="11" fillId="2" borderId="7" xfId="2" applyFont="1" applyFill="1" applyBorder="1" applyAlignment="1">
      <alignment vertical="center" wrapText="1"/>
    </xf>
    <xf numFmtId="0" fontId="10" fillId="2" borderId="7" xfId="2" applyFont="1" applyFill="1" applyBorder="1" applyAlignment="1">
      <alignment vertical="center" wrapText="1"/>
    </xf>
    <xf numFmtId="177" fontId="11" fillId="2" borderId="7" xfId="2" applyNumberFormat="1" applyFont="1" applyFill="1" applyBorder="1" applyAlignment="1">
      <alignment horizontal="center" vertical="center" wrapText="1"/>
    </xf>
    <xf numFmtId="177" fontId="12" fillId="2" borderId="7" xfId="2" applyNumberFormat="1" applyFont="1" applyFill="1" applyBorder="1" applyAlignment="1">
      <alignment horizontal="center" vertical="center" wrapText="1"/>
    </xf>
    <xf numFmtId="0" fontId="2" fillId="2" borderId="7" xfId="2" applyFont="1" applyFill="1" applyBorder="1" applyAlignment="1">
      <alignment horizontal="center" vertical="center" wrapText="1"/>
    </xf>
    <xf numFmtId="0" fontId="2" fillId="2" borderId="7" xfId="2" applyFont="1" applyFill="1" applyBorder="1">
      <alignment vertical="center"/>
    </xf>
    <xf numFmtId="0" fontId="9" fillId="2" borderId="7" xfId="2" applyFont="1" applyFill="1" applyBorder="1">
      <alignment vertical="center"/>
    </xf>
    <xf numFmtId="177" fontId="12" fillId="4" borderId="8" xfId="2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6" applyFont="1" applyFill="1" applyBorder="1" applyAlignment="1">
      <alignment horizontal="center" vertical="center" wrapText="1"/>
    </xf>
    <xf numFmtId="177" fontId="11" fillId="4" borderId="8" xfId="2" applyNumberFormat="1" applyFont="1" applyFill="1" applyBorder="1" applyAlignment="1">
      <alignment horizontal="center" vertical="center" wrapText="1"/>
    </xf>
    <xf numFmtId="177" fontId="10" fillId="4" borderId="1" xfId="2" applyNumberFormat="1" applyFont="1" applyFill="1" applyBorder="1" applyAlignment="1">
      <alignment vertical="center" wrapText="1"/>
    </xf>
    <xf numFmtId="177" fontId="11" fillId="4" borderId="8" xfId="2" applyNumberFormat="1" applyFont="1" applyFill="1" applyBorder="1" applyAlignment="1">
      <alignment horizontal="left" vertical="center" wrapText="1"/>
    </xf>
    <xf numFmtId="176" fontId="12" fillId="4" borderId="8" xfId="2" quotePrefix="1" applyNumberFormat="1" applyFont="1" applyFill="1" applyBorder="1" applyAlignment="1">
      <alignment horizontal="center" vertical="center" wrapText="1"/>
    </xf>
    <xf numFmtId="0" fontId="18" fillId="4" borderId="1" xfId="2" applyFont="1" applyFill="1" applyBorder="1" applyAlignment="1">
      <alignment horizontal="center" vertical="center" wrapText="1"/>
    </xf>
    <xf numFmtId="0" fontId="18" fillId="4" borderId="1" xfId="2" applyFont="1" applyFill="1" applyBorder="1" applyAlignment="1">
      <alignment horizontal="center" vertical="center"/>
    </xf>
    <xf numFmtId="177" fontId="12" fillId="4" borderId="1" xfId="2" applyNumberFormat="1" applyFont="1" applyFill="1" applyBorder="1" applyAlignment="1">
      <alignment horizontal="center" vertical="center" wrapText="1"/>
    </xf>
    <xf numFmtId="177" fontId="11" fillId="4" borderId="1" xfId="2" applyNumberFormat="1" applyFont="1" applyFill="1" applyBorder="1" applyAlignment="1">
      <alignment horizontal="center" vertical="center" wrapText="1"/>
    </xf>
    <xf numFmtId="177" fontId="11" fillId="4" borderId="1" xfId="2" applyNumberFormat="1" applyFont="1" applyFill="1" applyBorder="1" applyAlignment="1">
      <alignment horizontal="left" vertical="center" wrapText="1"/>
    </xf>
    <xf numFmtId="176" fontId="12" fillId="4" borderId="1" xfId="2" quotePrefix="1" applyNumberFormat="1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vertical="center" wrapText="1"/>
    </xf>
    <xf numFmtId="0" fontId="11" fillId="4" borderId="1" xfId="2" applyFont="1" applyFill="1" applyBorder="1" applyAlignment="1">
      <alignment vertical="center" wrapText="1"/>
    </xf>
    <xf numFmtId="0" fontId="15" fillId="4" borderId="1" xfId="2" applyFont="1" applyFill="1" applyBorder="1" applyAlignment="1">
      <alignment vertical="center" wrapText="1"/>
    </xf>
    <xf numFmtId="0" fontId="12" fillId="4" borderId="1" xfId="2" applyFont="1" applyFill="1" applyBorder="1" applyAlignment="1">
      <alignment horizontal="center" vertical="center"/>
    </xf>
    <xf numFmtId="49" fontId="12" fillId="4" borderId="1" xfId="2" quotePrefix="1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6" applyFont="1" applyFill="1" applyBorder="1" applyAlignment="1">
      <alignment horizontal="center" vertical="center" wrapText="1"/>
    </xf>
    <xf numFmtId="177" fontId="13" fillId="2" borderId="1" xfId="2" applyNumberFormat="1" applyFont="1" applyFill="1" applyBorder="1" applyAlignment="1">
      <alignment horizontal="center" vertical="center" wrapText="1"/>
    </xf>
    <xf numFmtId="177" fontId="14" fillId="2" borderId="1" xfId="2" applyNumberFormat="1" applyFont="1" applyFill="1" applyBorder="1" applyAlignment="1">
      <alignment horizontal="center" vertical="center" wrapText="1"/>
    </xf>
    <xf numFmtId="0" fontId="2" fillId="4" borderId="1" xfId="2" applyFont="1" applyFill="1" applyBorder="1">
      <alignment vertical="center"/>
    </xf>
    <xf numFmtId="0" fontId="2" fillId="2" borderId="1" xfId="2" applyFont="1" applyFill="1" applyBorder="1" applyAlignment="1">
      <alignment vertical="center" wrapText="1"/>
    </xf>
    <xf numFmtId="0" fontId="15" fillId="0" borderId="1" xfId="2" applyFont="1" applyBorder="1">
      <alignment vertical="center"/>
    </xf>
    <xf numFmtId="0" fontId="2" fillId="5" borderId="0" xfId="2" applyFont="1" applyFill="1">
      <alignment vertical="center"/>
    </xf>
    <xf numFmtId="176" fontId="12" fillId="0" borderId="0" xfId="2" quotePrefix="1" applyNumberFormat="1" applyFont="1" applyAlignment="1">
      <alignment horizontal="center" vertical="center" wrapText="1"/>
    </xf>
    <xf numFmtId="0" fontId="18" fillId="0" borderId="1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5" fillId="2" borderId="1" xfId="2" applyFont="1" applyFill="1" applyBorder="1">
      <alignment vertical="center"/>
    </xf>
    <xf numFmtId="0" fontId="2" fillId="2" borderId="1" xfId="2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177" fontId="10" fillId="2" borderId="8" xfId="2" applyNumberFormat="1" applyFont="1" applyFill="1" applyBorder="1" applyAlignment="1">
      <alignment vertical="center" wrapText="1"/>
    </xf>
    <xf numFmtId="0" fontId="18" fillId="2" borderId="8" xfId="2" applyFont="1" applyFill="1" applyBorder="1" applyAlignment="1">
      <alignment horizontal="center" vertical="center"/>
    </xf>
    <xf numFmtId="0" fontId="18" fillId="2" borderId="8" xfId="2" applyFont="1" applyFill="1" applyBorder="1" applyAlignment="1">
      <alignment horizontal="center" vertical="center" wrapText="1"/>
    </xf>
    <xf numFmtId="0" fontId="10" fillId="0" borderId="0" xfId="2" applyFont="1">
      <alignment vertical="center"/>
    </xf>
    <xf numFmtId="0" fontId="13" fillId="0" borderId="0" xfId="2" applyFont="1">
      <alignment vertical="center"/>
    </xf>
    <xf numFmtId="0" fontId="10" fillId="0" borderId="0" xfId="2" applyFont="1" applyAlignment="1">
      <alignment vertical="center" wrapText="1"/>
    </xf>
    <xf numFmtId="0" fontId="18" fillId="2" borderId="7" xfId="2" applyFont="1" applyFill="1" applyBorder="1" applyAlignment="1">
      <alignment horizontal="center" vertical="center" wrapText="1"/>
    </xf>
    <xf numFmtId="0" fontId="18" fillId="2" borderId="1" xfId="2" applyFont="1" applyFill="1" applyBorder="1">
      <alignment vertical="center"/>
    </xf>
    <xf numFmtId="0" fontId="18" fillId="0" borderId="1" xfId="2" applyFont="1" applyBorder="1">
      <alignment vertical="center"/>
    </xf>
    <xf numFmtId="177" fontId="10" fillId="2" borderId="1" xfId="2" applyNumberFormat="1" applyFont="1" applyFill="1" applyBorder="1" applyAlignment="1">
      <alignment horizontal="center" vertical="center" wrapText="1"/>
    </xf>
    <xf numFmtId="177" fontId="10" fillId="0" borderId="1" xfId="2" applyNumberFormat="1" applyFont="1" applyBorder="1" applyAlignment="1">
      <alignment horizontal="center" vertical="center" wrapText="1"/>
    </xf>
    <xf numFmtId="177" fontId="10" fillId="2" borderId="7" xfId="2" applyNumberFormat="1" applyFont="1" applyFill="1" applyBorder="1" applyAlignment="1">
      <alignment horizontal="center" vertical="center" wrapText="1"/>
    </xf>
    <xf numFmtId="177" fontId="10" fillId="2" borderId="8" xfId="2" applyNumberFormat="1" applyFont="1" applyFill="1" applyBorder="1" applyAlignment="1">
      <alignment horizontal="center" vertical="center" wrapText="1"/>
    </xf>
    <xf numFmtId="0" fontId="15" fillId="2" borderId="1" xfId="0" applyFont="1" applyFill="1" applyBorder="1">
      <alignment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>
      <alignment vertical="center"/>
    </xf>
    <xf numFmtId="0" fontId="10" fillId="3" borderId="1" xfId="2" applyFont="1" applyFill="1" applyBorder="1">
      <alignment vertical="center"/>
    </xf>
    <xf numFmtId="0" fontId="10" fillId="2" borderId="1" xfId="2" applyFont="1" applyFill="1" applyBorder="1">
      <alignment vertical="center"/>
    </xf>
    <xf numFmtId="0" fontId="10" fillId="5" borderId="1" xfId="2" applyFont="1" applyFill="1" applyBorder="1">
      <alignment vertical="center"/>
    </xf>
    <xf numFmtId="0" fontId="13" fillId="2" borderId="1" xfId="2" applyFont="1" applyFill="1" applyBorder="1">
      <alignment vertical="center"/>
    </xf>
    <xf numFmtId="0" fontId="37" fillId="0" borderId="1" xfId="2" applyFont="1" applyBorder="1">
      <alignment vertical="center"/>
    </xf>
    <xf numFmtId="0" fontId="37" fillId="0" borderId="0" xfId="2" applyFont="1">
      <alignment vertical="center"/>
    </xf>
    <xf numFmtId="0" fontId="2" fillId="4" borderId="1" xfId="2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center" vertical="center"/>
    </xf>
    <xf numFmtId="176" fontId="12" fillId="28" borderId="1" xfId="2" quotePrefix="1" applyNumberFormat="1" applyFont="1" applyFill="1" applyBorder="1" applyAlignment="1">
      <alignment horizontal="center" vertical="center" wrapText="1"/>
    </xf>
    <xf numFmtId="0" fontId="15" fillId="28" borderId="1" xfId="2" applyFont="1" applyFill="1" applyBorder="1">
      <alignment vertical="center"/>
    </xf>
    <xf numFmtId="0" fontId="2" fillId="28" borderId="1" xfId="2" applyFont="1" applyFill="1" applyBorder="1" applyAlignment="1">
      <alignment vertical="center" wrapText="1"/>
    </xf>
    <xf numFmtId="0" fontId="2" fillId="28" borderId="1" xfId="2" applyFont="1" applyFill="1" applyBorder="1" applyAlignment="1">
      <alignment horizontal="center" vertical="center"/>
    </xf>
    <xf numFmtId="0" fontId="18" fillId="28" borderId="1" xfId="2" applyFont="1" applyFill="1" applyBorder="1" applyAlignment="1">
      <alignment horizontal="center" vertical="center"/>
    </xf>
    <xf numFmtId="0" fontId="18" fillId="28" borderId="1" xfId="2" applyFont="1" applyFill="1" applyBorder="1" applyAlignment="1">
      <alignment horizontal="center" vertical="center" wrapText="1"/>
    </xf>
    <xf numFmtId="0" fontId="18" fillId="28" borderId="1" xfId="2" applyFont="1" applyFill="1" applyBorder="1">
      <alignment vertical="center"/>
    </xf>
    <xf numFmtId="0" fontId="15" fillId="28" borderId="1" xfId="2" applyFont="1" applyFill="1" applyBorder="1" applyAlignment="1">
      <alignment vertical="center" wrapText="1"/>
    </xf>
    <xf numFmtId="0" fontId="38" fillId="0" borderId="1" xfId="2" applyFont="1" applyBorder="1" applyAlignment="1">
      <alignment horizontal="center" vertical="center"/>
    </xf>
    <xf numFmtId="0" fontId="10" fillId="5" borderId="1" xfId="2" applyFont="1" applyFill="1" applyBorder="1" applyAlignment="1">
      <alignment vertical="center" wrapText="1"/>
    </xf>
    <xf numFmtId="177" fontId="12" fillId="5" borderId="1" xfId="2" applyNumberFormat="1" applyFont="1" applyFill="1" applyBorder="1" applyAlignment="1">
      <alignment horizontal="center" vertical="center" wrapText="1"/>
    </xf>
    <xf numFmtId="0" fontId="18" fillId="5" borderId="1" xfId="2" applyFont="1" applyFill="1" applyBorder="1" applyAlignment="1">
      <alignment horizontal="center" vertical="center" wrapText="1"/>
    </xf>
    <xf numFmtId="0" fontId="37" fillId="5" borderId="1" xfId="2" applyFont="1" applyFill="1" applyBorder="1">
      <alignment vertical="center"/>
    </xf>
    <xf numFmtId="176" fontId="12" fillId="5" borderId="1" xfId="2" quotePrefix="1" applyNumberFormat="1" applyFont="1" applyFill="1" applyBorder="1" applyAlignment="1">
      <alignment horizontal="center" vertical="center" wrapText="1"/>
    </xf>
    <xf numFmtId="0" fontId="11" fillId="5" borderId="1" xfId="2" applyFont="1" applyFill="1" applyBorder="1" applyAlignment="1">
      <alignment vertical="center" wrapText="1"/>
    </xf>
    <xf numFmtId="177" fontId="2" fillId="5" borderId="1" xfId="2" applyNumberFormat="1" applyFont="1" applyFill="1" applyBorder="1" applyAlignment="1">
      <alignment horizontal="center" vertical="center" wrapText="1"/>
    </xf>
    <xf numFmtId="0" fontId="10" fillId="5" borderId="0" xfId="2" applyFont="1" applyFill="1" applyAlignment="1">
      <alignment vertical="top" wrapText="1"/>
    </xf>
    <xf numFmtId="0" fontId="2" fillId="29" borderId="0" xfId="2" applyFont="1" applyFill="1" applyAlignment="1">
      <alignment horizontal="center" vertical="center"/>
    </xf>
    <xf numFmtId="0" fontId="2" fillId="29" borderId="0" xfId="2" applyFont="1" applyFill="1">
      <alignment vertical="center"/>
    </xf>
    <xf numFmtId="0" fontId="10" fillId="29" borderId="0" xfId="2" applyFont="1" applyFill="1">
      <alignment vertical="center"/>
    </xf>
    <xf numFmtId="0" fontId="37" fillId="29" borderId="0" xfId="2" applyFont="1" applyFill="1">
      <alignment vertical="center"/>
    </xf>
    <xf numFmtId="0" fontId="10" fillId="2" borderId="0" xfId="2" applyFont="1" applyFill="1" applyBorder="1">
      <alignment vertical="center"/>
    </xf>
    <xf numFmtId="0" fontId="37" fillId="0" borderId="0" xfId="2" applyFont="1" applyBorder="1">
      <alignment vertical="center"/>
    </xf>
    <xf numFmtId="0" fontId="2" fillId="2" borderId="0" xfId="2" applyFont="1" applyFill="1" applyBorder="1" applyAlignment="1">
      <alignment horizontal="center" vertical="center"/>
    </xf>
    <xf numFmtId="0" fontId="5" fillId="0" borderId="6" xfId="2" applyFont="1" applyBorder="1" applyAlignment="1">
      <alignment vertical="center" wrapText="1"/>
    </xf>
    <xf numFmtId="0" fontId="5" fillId="0" borderId="0" xfId="2" applyFont="1" applyAlignment="1">
      <alignment vertical="center" wrapText="1"/>
    </xf>
    <xf numFmtId="0" fontId="18" fillId="5" borderId="1" xfId="2" applyFont="1" applyFill="1" applyBorder="1" applyAlignment="1">
      <alignment horizontal="center" vertical="center"/>
    </xf>
    <xf numFmtId="0" fontId="10" fillId="5" borderId="0" xfId="2" applyFont="1" applyFill="1" applyAlignment="1">
      <alignment vertical="center" wrapText="1"/>
    </xf>
    <xf numFmtId="0" fontId="2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 wrapText="1"/>
    </xf>
    <xf numFmtId="49" fontId="8" fillId="0" borderId="1" xfId="2" applyNumberFormat="1" applyFont="1" applyBorder="1" applyAlignment="1">
      <alignment horizontal="center" vertical="center"/>
    </xf>
    <xf numFmtId="177" fontId="12" fillId="0" borderId="2" xfId="2" applyNumberFormat="1" applyFont="1" applyBorder="1" applyAlignment="1">
      <alignment horizontal="center" vertical="center" wrapText="1"/>
    </xf>
    <xf numFmtId="177" fontId="12" fillId="0" borderId="4" xfId="2" applyNumberFormat="1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10" fillId="0" borderId="5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distributed" vertical="center" wrapText="1"/>
    </xf>
    <xf numFmtId="0" fontId="5" fillId="0" borderId="5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49" fontId="8" fillId="0" borderId="4" xfId="2" applyNumberFormat="1" applyFont="1" applyBorder="1" applyAlignment="1">
      <alignment horizontal="center" vertical="center" wrapText="1"/>
    </xf>
    <xf numFmtId="49" fontId="8" fillId="0" borderId="2" xfId="2" applyNumberFormat="1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49" fontId="8" fillId="0" borderId="4" xfId="2" applyNumberFormat="1" applyFont="1" applyBorder="1" applyAlignment="1">
      <alignment horizontal="center" vertical="center"/>
    </xf>
  </cellXfs>
  <cellStyles count="49">
    <cellStyle name="20% - 輔色1 2" xfId="8"/>
    <cellStyle name="20% - 輔色2 2" xfId="9"/>
    <cellStyle name="20% - 輔色3 2" xfId="10"/>
    <cellStyle name="20% - 輔色4 2" xfId="11"/>
    <cellStyle name="20% - 輔色5 2" xfId="12"/>
    <cellStyle name="20% - 輔色6 2" xfId="13"/>
    <cellStyle name="40% - 輔色1 2" xfId="14"/>
    <cellStyle name="40% - 輔色2 2" xfId="15"/>
    <cellStyle name="40% - 輔色3 2" xfId="16"/>
    <cellStyle name="40% - 輔色4 2" xfId="17"/>
    <cellStyle name="40% - 輔色5 2" xfId="18"/>
    <cellStyle name="40% - 輔色6 2" xfId="19"/>
    <cellStyle name="60% - 輔色1 2" xfId="20"/>
    <cellStyle name="60% - 輔色2 2" xfId="21"/>
    <cellStyle name="60% - 輔色3 2" xfId="22"/>
    <cellStyle name="60% - 輔色4 2" xfId="23"/>
    <cellStyle name="60% - 輔色5 2" xfId="24"/>
    <cellStyle name="60% - 輔色6 2" xfId="25"/>
    <cellStyle name="一般" xfId="0" builtinId="0"/>
    <cellStyle name="一般 2" xfId="1"/>
    <cellStyle name="一般 2 2" xfId="7"/>
    <cellStyle name="一般 2 4" xfId="4"/>
    <cellStyle name="一般 20" xfId="3"/>
    <cellStyle name="一般 21 2" xfId="2"/>
    <cellStyle name="一般 3" xfId="6"/>
    <cellStyle name="一般 8 9 7" xfId="5"/>
    <cellStyle name="中等 2" xfId="26"/>
    <cellStyle name="合計 2" xfId="27"/>
    <cellStyle name="好 2" xfId="28"/>
    <cellStyle name="計算方式 2" xfId="29"/>
    <cellStyle name="連結的儲存格 2" xfId="30"/>
    <cellStyle name="備註 2" xfId="31"/>
    <cellStyle name="說明文字 2" xfId="32"/>
    <cellStyle name="輔色1 2" xfId="33"/>
    <cellStyle name="輔色2 2" xfId="34"/>
    <cellStyle name="輔色3 2" xfId="35"/>
    <cellStyle name="輔色4 2" xfId="36"/>
    <cellStyle name="輔色5 2" xfId="37"/>
    <cellStyle name="輔色6 2" xfId="38"/>
    <cellStyle name="標題 1 1" xfId="39"/>
    <cellStyle name="標題 2 1" xfId="41"/>
    <cellStyle name="標題 2 2" xfId="40"/>
    <cellStyle name="標題 3 2" xfId="42"/>
    <cellStyle name="標題 4 2" xfId="43"/>
    <cellStyle name="輸入 2" xfId="44"/>
    <cellStyle name="輸出 2" xfId="45"/>
    <cellStyle name="檢查儲存格 2" xfId="46"/>
    <cellStyle name="壞 2" xfId="47"/>
    <cellStyle name="警告文字 2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8" Type="http://schemas.openxmlformats.org/officeDocument/2006/relationships/externalLink" Target="externalLinks/externalLink3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計劃書管制表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81-4437-A0C7-F7352FD12D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81-4437-A0C7-F7352FD12D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81-4437-A0C7-F7352FD12D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81-4437-A0C7-F7352FD12D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('計畫書 (2)'!$AO$3:$AQ$3,'計畫書 (2)'!$AU$3)</c:f>
              <c:strCache>
                <c:ptCount val="4"/>
                <c:pt idx="0">
                  <c:v>未送審</c:v>
                </c:pt>
                <c:pt idx="1">
                  <c:v>審查中</c:v>
                </c:pt>
                <c:pt idx="2">
                  <c:v>修正中</c:v>
                </c:pt>
                <c:pt idx="3">
                  <c:v>已核定合計</c:v>
                </c:pt>
              </c:strCache>
            </c:strRef>
          </c:cat>
          <c:val>
            <c:numRef>
              <c:f>('計畫書 (2)'!$AO$4:$AQ$4,'計畫書 (2)'!$AU$4)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81-4437-A0C7-F7352FD12D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計劃書管制表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E6-4D6E-924A-D4B7712EF6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6-4D6E-924A-D4B7712EF6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E6-4D6E-924A-D4B7712EF6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E6-4D6E-924A-D4B7712EF6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(施工圖!$AO$3:$AQ$3,施工圖!$AU$3)</c:f>
              <c:strCache>
                <c:ptCount val="4"/>
                <c:pt idx="0">
                  <c:v>未送審</c:v>
                </c:pt>
                <c:pt idx="1">
                  <c:v>審查中</c:v>
                </c:pt>
                <c:pt idx="2">
                  <c:v>修正中</c:v>
                </c:pt>
                <c:pt idx="3">
                  <c:v>已核定合計</c:v>
                </c:pt>
              </c:strCache>
            </c:strRef>
          </c:cat>
          <c:val>
            <c:numRef>
              <c:f>(施工圖!$AO$4:$AQ$4,施工圖!$AU$4)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E6-4D6E-924A-D4B7712EF6C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11906</xdr:colOff>
      <xdr:row>4</xdr:row>
      <xdr:rowOff>11906</xdr:rowOff>
    </xdr:from>
    <xdr:to>
      <xdr:col>16</xdr:col>
      <xdr:colOff>773906</xdr:colOff>
      <xdr:row>5</xdr:row>
      <xdr:rowOff>0</xdr:rowOff>
    </xdr:to>
    <xdr:cxnSp macro="">
      <xdr:nvCxnSpPr>
        <xdr:cNvPr id="3" name="直線接點 2"/>
        <xdr:cNvCxnSpPr/>
      </xdr:nvCxnSpPr>
      <xdr:spPr>
        <a:xfrm>
          <a:off x="18692812" y="21193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35719</xdr:colOff>
      <xdr:row>4</xdr:row>
      <xdr:rowOff>11906</xdr:rowOff>
    </xdr:from>
    <xdr:to>
      <xdr:col>18</xdr:col>
      <xdr:colOff>11906</xdr:colOff>
      <xdr:row>5</xdr:row>
      <xdr:rowOff>11906</xdr:rowOff>
    </xdr:to>
    <xdr:cxnSp macro="">
      <xdr:nvCxnSpPr>
        <xdr:cNvPr id="5" name="直線接點 4"/>
        <xdr:cNvCxnSpPr/>
      </xdr:nvCxnSpPr>
      <xdr:spPr>
        <a:xfrm>
          <a:off x="19514344" y="2119312"/>
          <a:ext cx="1547812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4</xdr:row>
      <xdr:rowOff>0</xdr:rowOff>
    </xdr:from>
    <xdr:to>
      <xdr:col>19</xdr:col>
      <xdr:colOff>0</xdr:colOff>
      <xdr:row>4</xdr:row>
      <xdr:rowOff>666750</xdr:rowOff>
    </xdr:to>
    <xdr:cxnSp macro="">
      <xdr:nvCxnSpPr>
        <xdr:cNvPr id="9" name="直線接點 8"/>
        <xdr:cNvCxnSpPr/>
      </xdr:nvCxnSpPr>
      <xdr:spPr>
        <a:xfrm>
          <a:off x="21074062" y="2107406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11906</xdr:rowOff>
    </xdr:from>
    <xdr:to>
      <xdr:col>20</xdr:col>
      <xdr:colOff>0</xdr:colOff>
      <xdr:row>4</xdr:row>
      <xdr:rowOff>678656</xdr:rowOff>
    </xdr:to>
    <xdr:cxnSp macro="">
      <xdr:nvCxnSpPr>
        <xdr:cNvPr id="14" name="直線接點 13"/>
        <xdr:cNvCxnSpPr/>
      </xdr:nvCxnSpPr>
      <xdr:spPr>
        <a:xfrm>
          <a:off x="21847969" y="2119312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5</xdr:row>
      <xdr:rowOff>11906</xdr:rowOff>
    </xdr:from>
    <xdr:to>
      <xdr:col>16</xdr:col>
      <xdr:colOff>773906</xdr:colOff>
      <xdr:row>6</xdr:row>
      <xdr:rowOff>0</xdr:rowOff>
    </xdr:to>
    <xdr:cxnSp macro="">
      <xdr:nvCxnSpPr>
        <xdr:cNvPr id="19" name="直線接點 18"/>
        <xdr:cNvCxnSpPr/>
      </xdr:nvCxnSpPr>
      <xdr:spPr>
        <a:xfrm>
          <a:off x="18692812" y="21193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</xdr:row>
      <xdr:rowOff>23812</xdr:rowOff>
    </xdr:from>
    <xdr:to>
      <xdr:col>18</xdr:col>
      <xdr:colOff>11906</xdr:colOff>
      <xdr:row>6</xdr:row>
      <xdr:rowOff>11906</xdr:rowOff>
    </xdr:to>
    <xdr:cxnSp macro="">
      <xdr:nvCxnSpPr>
        <xdr:cNvPr id="20" name="直線接點 19"/>
        <xdr:cNvCxnSpPr/>
      </xdr:nvCxnSpPr>
      <xdr:spPr>
        <a:xfrm>
          <a:off x="19490531" y="282178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5</xdr:row>
      <xdr:rowOff>0</xdr:rowOff>
    </xdr:from>
    <xdr:to>
      <xdr:col>19</xdr:col>
      <xdr:colOff>0</xdr:colOff>
      <xdr:row>5</xdr:row>
      <xdr:rowOff>666750</xdr:rowOff>
    </xdr:to>
    <xdr:cxnSp macro="">
      <xdr:nvCxnSpPr>
        <xdr:cNvPr id="21" name="直線接點 20"/>
        <xdr:cNvCxnSpPr/>
      </xdr:nvCxnSpPr>
      <xdr:spPr>
        <a:xfrm>
          <a:off x="21074062" y="2107406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5</xdr:row>
      <xdr:rowOff>11906</xdr:rowOff>
    </xdr:from>
    <xdr:to>
      <xdr:col>12</xdr:col>
      <xdr:colOff>773906</xdr:colOff>
      <xdr:row>6</xdr:row>
      <xdr:rowOff>0</xdr:rowOff>
    </xdr:to>
    <xdr:cxnSp macro="">
      <xdr:nvCxnSpPr>
        <xdr:cNvPr id="26" name="直線接點 25"/>
        <xdr:cNvCxnSpPr/>
      </xdr:nvCxnSpPr>
      <xdr:spPr>
        <a:xfrm>
          <a:off x="18692812" y="280987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35719</xdr:colOff>
      <xdr:row>4</xdr:row>
      <xdr:rowOff>11906</xdr:rowOff>
    </xdr:from>
    <xdr:to>
      <xdr:col>14</xdr:col>
      <xdr:colOff>11906</xdr:colOff>
      <xdr:row>5</xdr:row>
      <xdr:rowOff>11906</xdr:rowOff>
    </xdr:to>
    <xdr:cxnSp macro="">
      <xdr:nvCxnSpPr>
        <xdr:cNvPr id="29" name="直線接點 28"/>
        <xdr:cNvCxnSpPr/>
      </xdr:nvCxnSpPr>
      <xdr:spPr>
        <a:xfrm>
          <a:off x="19514344" y="2119312"/>
          <a:ext cx="1547812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5</xdr:row>
      <xdr:rowOff>23812</xdr:rowOff>
    </xdr:from>
    <xdr:to>
      <xdr:col>14</xdr:col>
      <xdr:colOff>11906</xdr:colOff>
      <xdr:row>6</xdr:row>
      <xdr:rowOff>11906</xdr:rowOff>
    </xdr:to>
    <xdr:cxnSp macro="">
      <xdr:nvCxnSpPr>
        <xdr:cNvPr id="30" name="直線接點 29"/>
        <xdr:cNvCxnSpPr/>
      </xdr:nvCxnSpPr>
      <xdr:spPr>
        <a:xfrm>
          <a:off x="19490531" y="282178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5</xdr:row>
      <xdr:rowOff>11906</xdr:rowOff>
    </xdr:from>
    <xdr:to>
      <xdr:col>14</xdr:col>
      <xdr:colOff>773906</xdr:colOff>
      <xdr:row>6</xdr:row>
      <xdr:rowOff>0</xdr:rowOff>
    </xdr:to>
    <xdr:cxnSp macro="">
      <xdr:nvCxnSpPr>
        <xdr:cNvPr id="34" name="直線接點 33"/>
        <xdr:cNvCxnSpPr/>
      </xdr:nvCxnSpPr>
      <xdr:spPr>
        <a:xfrm>
          <a:off x="14478000" y="280987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6</xdr:row>
      <xdr:rowOff>11906</xdr:rowOff>
    </xdr:from>
    <xdr:to>
      <xdr:col>16</xdr:col>
      <xdr:colOff>773906</xdr:colOff>
      <xdr:row>7</xdr:row>
      <xdr:rowOff>0</xdr:rowOff>
    </xdr:to>
    <xdr:cxnSp macro="">
      <xdr:nvCxnSpPr>
        <xdr:cNvPr id="53" name="直線接點 52"/>
        <xdr:cNvCxnSpPr/>
      </xdr:nvCxnSpPr>
      <xdr:spPr>
        <a:xfrm>
          <a:off x="18692812" y="280987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6</xdr:row>
      <xdr:rowOff>23812</xdr:rowOff>
    </xdr:from>
    <xdr:to>
      <xdr:col>18</xdr:col>
      <xdr:colOff>11906</xdr:colOff>
      <xdr:row>7</xdr:row>
      <xdr:rowOff>11906</xdr:rowOff>
    </xdr:to>
    <xdr:cxnSp macro="">
      <xdr:nvCxnSpPr>
        <xdr:cNvPr id="54" name="直線接點 53"/>
        <xdr:cNvCxnSpPr/>
      </xdr:nvCxnSpPr>
      <xdr:spPr>
        <a:xfrm>
          <a:off x="19490531" y="282178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6</xdr:row>
      <xdr:rowOff>0</xdr:rowOff>
    </xdr:from>
    <xdr:to>
      <xdr:col>19</xdr:col>
      <xdr:colOff>0</xdr:colOff>
      <xdr:row>6</xdr:row>
      <xdr:rowOff>666750</xdr:rowOff>
    </xdr:to>
    <xdr:cxnSp macro="">
      <xdr:nvCxnSpPr>
        <xdr:cNvPr id="55" name="直線接點 54"/>
        <xdr:cNvCxnSpPr/>
      </xdr:nvCxnSpPr>
      <xdr:spPr>
        <a:xfrm>
          <a:off x="21074062" y="279796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6</xdr:row>
      <xdr:rowOff>11906</xdr:rowOff>
    </xdr:from>
    <xdr:to>
      <xdr:col>12</xdr:col>
      <xdr:colOff>773906</xdr:colOff>
      <xdr:row>7</xdr:row>
      <xdr:rowOff>0</xdr:rowOff>
    </xdr:to>
    <xdr:cxnSp macro="">
      <xdr:nvCxnSpPr>
        <xdr:cNvPr id="57" name="直線接點 56"/>
        <xdr:cNvCxnSpPr/>
      </xdr:nvCxnSpPr>
      <xdr:spPr>
        <a:xfrm>
          <a:off x="14478000" y="280987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6</xdr:row>
      <xdr:rowOff>23812</xdr:rowOff>
    </xdr:from>
    <xdr:to>
      <xdr:col>14</xdr:col>
      <xdr:colOff>11906</xdr:colOff>
      <xdr:row>7</xdr:row>
      <xdr:rowOff>11906</xdr:rowOff>
    </xdr:to>
    <xdr:cxnSp macro="">
      <xdr:nvCxnSpPr>
        <xdr:cNvPr id="59" name="直線接點 58"/>
        <xdr:cNvCxnSpPr/>
      </xdr:nvCxnSpPr>
      <xdr:spPr>
        <a:xfrm>
          <a:off x="15275719" y="282178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6</xdr:row>
      <xdr:rowOff>11906</xdr:rowOff>
    </xdr:from>
    <xdr:to>
      <xdr:col>14</xdr:col>
      <xdr:colOff>773906</xdr:colOff>
      <xdr:row>7</xdr:row>
      <xdr:rowOff>0</xdr:rowOff>
    </xdr:to>
    <xdr:cxnSp macro="">
      <xdr:nvCxnSpPr>
        <xdr:cNvPr id="60" name="直線接點 59"/>
        <xdr:cNvCxnSpPr/>
      </xdr:nvCxnSpPr>
      <xdr:spPr>
        <a:xfrm>
          <a:off x="16835437" y="280987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7</xdr:row>
      <xdr:rowOff>11906</xdr:rowOff>
    </xdr:from>
    <xdr:to>
      <xdr:col>8</xdr:col>
      <xdr:colOff>773906</xdr:colOff>
      <xdr:row>8</xdr:row>
      <xdr:rowOff>0</xdr:rowOff>
    </xdr:to>
    <xdr:cxnSp macro="">
      <xdr:nvCxnSpPr>
        <xdr:cNvPr id="63" name="直線接點 62"/>
        <xdr:cNvCxnSpPr/>
      </xdr:nvCxnSpPr>
      <xdr:spPr>
        <a:xfrm>
          <a:off x="14478000" y="35004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7</xdr:row>
      <xdr:rowOff>23812</xdr:rowOff>
    </xdr:from>
    <xdr:to>
      <xdr:col>10</xdr:col>
      <xdr:colOff>11906</xdr:colOff>
      <xdr:row>8</xdr:row>
      <xdr:rowOff>11906</xdr:rowOff>
    </xdr:to>
    <xdr:cxnSp macro="">
      <xdr:nvCxnSpPr>
        <xdr:cNvPr id="69" name="直線接點 68"/>
        <xdr:cNvCxnSpPr/>
      </xdr:nvCxnSpPr>
      <xdr:spPr>
        <a:xfrm>
          <a:off x="15275719" y="351234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7</xdr:row>
      <xdr:rowOff>11906</xdr:rowOff>
    </xdr:from>
    <xdr:to>
      <xdr:col>10</xdr:col>
      <xdr:colOff>773906</xdr:colOff>
      <xdr:row>8</xdr:row>
      <xdr:rowOff>0</xdr:rowOff>
    </xdr:to>
    <xdr:cxnSp macro="">
      <xdr:nvCxnSpPr>
        <xdr:cNvPr id="71" name="直線接點 70"/>
        <xdr:cNvCxnSpPr/>
      </xdr:nvCxnSpPr>
      <xdr:spPr>
        <a:xfrm>
          <a:off x="14478000" y="35004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6</xdr:row>
      <xdr:rowOff>23812</xdr:rowOff>
    </xdr:from>
    <xdr:to>
      <xdr:col>18</xdr:col>
      <xdr:colOff>11906</xdr:colOff>
      <xdr:row>7</xdr:row>
      <xdr:rowOff>11906</xdr:rowOff>
    </xdr:to>
    <xdr:cxnSp macro="">
      <xdr:nvCxnSpPr>
        <xdr:cNvPr id="92" name="直線接點 91"/>
        <xdr:cNvCxnSpPr/>
      </xdr:nvCxnSpPr>
      <xdr:spPr>
        <a:xfrm>
          <a:off x="19490531" y="282178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6</xdr:row>
      <xdr:rowOff>23812</xdr:rowOff>
    </xdr:from>
    <xdr:to>
      <xdr:col>14</xdr:col>
      <xdr:colOff>11906</xdr:colOff>
      <xdr:row>7</xdr:row>
      <xdr:rowOff>11906</xdr:rowOff>
    </xdr:to>
    <xdr:cxnSp macro="">
      <xdr:nvCxnSpPr>
        <xdr:cNvPr id="93" name="直線接點 92"/>
        <xdr:cNvCxnSpPr/>
      </xdr:nvCxnSpPr>
      <xdr:spPr>
        <a:xfrm>
          <a:off x="15275719" y="282178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7</xdr:row>
      <xdr:rowOff>11906</xdr:rowOff>
    </xdr:from>
    <xdr:to>
      <xdr:col>16</xdr:col>
      <xdr:colOff>773906</xdr:colOff>
      <xdr:row>8</xdr:row>
      <xdr:rowOff>0</xdr:rowOff>
    </xdr:to>
    <xdr:cxnSp macro="">
      <xdr:nvCxnSpPr>
        <xdr:cNvPr id="96" name="直線接點 95"/>
        <xdr:cNvCxnSpPr/>
      </xdr:nvCxnSpPr>
      <xdr:spPr>
        <a:xfrm>
          <a:off x="18692812" y="35004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7</xdr:row>
      <xdr:rowOff>23812</xdr:rowOff>
    </xdr:from>
    <xdr:to>
      <xdr:col>18</xdr:col>
      <xdr:colOff>11906</xdr:colOff>
      <xdr:row>8</xdr:row>
      <xdr:rowOff>11906</xdr:rowOff>
    </xdr:to>
    <xdr:cxnSp macro="">
      <xdr:nvCxnSpPr>
        <xdr:cNvPr id="97" name="直線接點 96"/>
        <xdr:cNvCxnSpPr/>
      </xdr:nvCxnSpPr>
      <xdr:spPr>
        <a:xfrm>
          <a:off x="19490531" y="351234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7</xdr:row>
      <xdr:rowOff>0</xdr:rowOff>
    </xdr:from>
    <xdr:to>
      <xdr:col>19</xdr:col>
      <xdr:colOff>0</xdr:colOff>
      <xdr:row>7</xdr:row>
      <xdr:rowOff>666750</xdr:rowOff>
    </xdr:to>
    <xdr:cxnSp macro="">
      <xdr:nvCxnSpPr>
        <xdr:cNvPr id="98" name="直線接點 97"/>
        <xdr:cNvCxnSpPr/>
      </xdr:nvCxnSpPr>
      <xdr:spPr>
        <a:xfrm>
          <a:off x="21074062" y="3488531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7</xdr:row>
      <xdr:rowOff>11906</xdr:rowOff>
    </xdr:from>
    <xdr:to>
      <xdr:col>12</xdr:col>
      <xdr:colOff>773906</xdr:colOff>
      <xdr:row>8</xdr:row>
      <xdr:rowOff>0</xdr:rowOff>
    </xdr:to>
    <xdr:cxnSp macro="">
      <xdr:nvCxnSpPr>
        <xdr:cNvPr id="100" name="直線接點 99"/>
        <xdr:cNvCxnSpPr/>
      </xdr:nvCxnSpPr>
      <xdr:spPr>
        <a:xfrm>
          <a:off x="14478000" y="35004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7</xdr:row>
      <xdr:rowOff>23812</xdr:rowOff>
    </xdr:from>
    <xdr:to>
      <xdr:col>14</xdr:col>
      <xdr:colOff>11906</xdr:colOff>
      <xdr:row>8</xdr:row>
      <xdr:rowOff>11906</xdr:rowOff>
    </xdr:to>
    <xdr:cxnSp macro="">
      <xdr:nvCxnSpPr>
        <xdr:cNvPr id="102" name="直線接點 101"/>
        <xdr:cNvCxnSpPr/>
      </xdr:nvCxnSpPr>
      <xdr:spPr>
        <a:xfrm>
          <a:off x="15275719" y="351234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7</xdr:row>
      <xdr:rowOff>11906</xdr:rowOff>
    </xdr:from>
    <xdr:to>
      <xdr:col>14</xdr:col>
      <xdr:colOff>773906</xdr:colOff>
      <xdr:row>8</xdr:row>
      <xdr:rowOff>0</xdr:rowOff>
    </xdr:to>
    <xdr:cxnSp macro="">
      <xdr:nvCxnSpPr>
        <xdr:cNvPr id="103" name="直線接點 102"/>
        <xdr:cNvCxnSpPr/>
      </xdr:nvCxnSpPr>
      <xdr:spPr>
        <a:xfrm>
          <a:off x="16835437" y="35004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8</xdr:row>
      <xdr:rowOff>23812</xdr:rowOff>
    </xdr:from>
    <xdr:to>
      <xdr:col>18</xdr:col>
      <xdr:colOff>11906</xdr:colOff>
      <xdr:row>9</xdr:row>
      <xdr:rowOff>11906</xdr:rowOff>
    </xdr:to>
    <xdr:cxnSp macro="">
      <xdr:nvCxnSpPr>
        <xdr:cNvPr id="127" name="直線接點 126"/>
        <xdr:cNvCxnSpPr/>
      </xdr:nvCxnSpPr>
      <xdr:spPr>
        <a:xfrm>
          <a:off x="19490531" y="351234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9</xdr:row>
      <xdr:rowOff>11906</xdr:rowOff>
    </xdr:from>
    <xdr:to>
      <xdr:col>9</xdr:col>
      <xdr:colOff>11906</xdr:colOff>
      <xdr:row>9</xdr:row>
      <xdr:rowOff>666750</xdr:rowOff>
    </xdr:to>
    <xdr:cxnSp macro="">
      <xdr:nvCxnSpPr>
        <xdr:cNvPr id="129" name="直線接點 128"/>
        <xdr:cNvCxnSpPr/>
      </xdr:nvCxnSpPr>
      <xdr:spPr>
        <a:xfrm>
          <a:off x="10263187" y="5572125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9</xdr:row>
      <xdr:rowOff>23812</xdr:rowOff>
    </xdr:from>
    <xdr:to>
      <xdr:col>10</xdr:col>
      <xdr:colOff>11906</xdr:colOff>
      <xdr:row>10</xdr:row>
      <xdr:rowOff>11906</xdr:rowOff>
    </xdr:to>
    <xdr:cxnSp macro="">
      <xdr:nvCxnSpPr>
        <xdr:cNvPr id="130" name="直線接點 129"/>
        <xdr:cNvCxnSpPr/>
      </xdr:nvCxnSpPr>
      <xdr:spPr>
        <a:xfrm>
          <a:off x="11060906" y="4202906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9</xdr:row>
      <xdr:rowOff>11906</xdr:rowOff>
    </xdr:from>
    <xdr:to>
      <xdr:col>10</xdr:col>
      <xdr:colOff>773906</xdr:colOff>
      <xdr:row>10</xdr:row>
      <xdr:rowOff>0</xdr:rowOff>
    </xdr:to>
    <xdr:cxnSp macro="">
      <xdr:nvCxnSpPr>
        <xdr:cNvPr id="131" name="直線接點 130"/>
        <xdr:cNvCxnSpPr/>
      </xdr:nvCxnSpPr>
      <xdr:spPr>
        <a:xfrm>
          <a:off x="12620625" y="4191000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8</xdr:row>
      <xdr:rowOff>23812</xdr:rowOff>
    </xdr:from>
    <xdr:to>
      <xdr:col>18</xdr:col>
      <xdr:colOff>11906</xdr:colOff>
      <xdr:row>9</xdr:row>
      <xdr:rowOff>11906</xdr:rowOff>
    </xdr:to>
    <xdr:cxnSp macro="">
      <xdr:nvCxnSpPr>
        <xdr:cNvPr id="134" name="直線接點 133"/>
        <xdr:cNvCxnSpPr/>
      </xdr:nvCxnSpPr>
      <xdr:spPr>
        <a:xfrm>
          <a:off x="19490531" y="351234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9</xdr:row>
      <xdr:rowOff>11906</xdr:rowOff>
    </xdr:from>
    <xdr:to>
      <xdr:col>16</xdr:col>
      <xdr:colOff>773906</xdr:colOff>
      <xdr:row>10</xdr:row>
      <xdr:rowOff>0</xdr:rowOff>
    </xdr:to>
    <xdr:cxnSp macro="">
      <xdr:nvCxnSpPr>
        <xdr:cNvPr id="138" name="直線接點 137"/>
        <xdr:cNvCxnSpPr/>
      </xdr:nvCxnSpPr>
      <xdr:spPr>
        <a:xfrm>
          <a:off x="18692812" y="4191000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9</xdr:row>
      <xdr:rowOff>23812</xdr:rowOff>
    </xdr:from>
    <xdr:to>
      <xdr:col>18</xdr:col>
      <xdr:colOff>11906</xdr:colOff>
      <xdr:row>10</xdr:row>
      <xdr:rowOff>11906</xdr:rowOff>
    </xdr:to>
    <xdr:cxnSp macro="">
      <xdr:nvCxnSpPr>
        <xdr:cNvPr id="139" name="直線接點 138"/>
        <xdr:cNvCxnSpPr/>
      </xdr:nvCxnSpPr>
      <xdr:spPr>
        <a:xfrm>
          <a:off x="19490531" y="4202906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9</xdr:row>
      <xdr:rowOff>0</xdr:rowOff>
    </xdr:from>
    <xdr:to>
      <xdr:col>19</xdr:col>
      <xdr:colOff>0</xdr:colOff>
      <xdr:row>9</xdr:row>
      <xdr:rowOff>666750</xdr:rowOff>
    </xdr:to>
    <xdr:cxnSp macro="">
      <xdr:nvCxnSpPr>
        <xdr:cNvPr id="140" name="直線接點 139"/>
        <xdr:cNvCxnSpPr/>
      </xdr:nvCxnSpPr>
      <xdr:spPr>
        <a:xfrm>
          <a:off x="21074062" y="4179094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9</xdr:row>
      <xdr:rowOff>11906</xdr:rowOff>
    </xdr:from>
    <xdr:to>
      <xdr:col>12</xdr:col>
      <xdr:colOff>773906</xdr:colOff>
      <xdr:row>10</xdr:row>
      <xdr:rowOff>0</xdr:rowOff>
    </xdr:to>
    <xdr:cxnSp macro="">
      <xdr:nvCxnSpPr>
        <xdr:cNvPr id="142" name="直線接點 141"/>
        <xdr:cNvCxnSpPr/>
      </xdr:nvCxnSpPr>
      <xdr:spPr>
        <a:xfrm>
          <a:off x="14478000" y="4191000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9</xdr:row>
      <xdr:rowOff>23812</xdr:rowOff>
    </xdr:from>
    <xdr:to>
      <xdr:col>14</xdr:col>
      <xdr:colOff>11906</xdr:colOff>
      <xdr:row>10</xdr:row>
      <xdr:rowOff>11906</xdr:rowOff>
    </xdr:to>
    <xdr:cxnSp macro="">
      <xdr:nvCxnSpPr>
        <xdr:cNvPr id="144" name="直線接點 143"/>
        <xdr:cNvCxnSpPr/>
      </xdr:nvCxnSpPr>
      <xdr:spPr>
        <a:xfrm>
          <a:off x="15275719" y="4202906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9</xdr:row>
      <xdr:rowOff>11906</xdr:rowOff>
    </xdr:from>
    <xdr:to>
      <xdr:col>14</xdr:col>
      <xdr:colOff>773906</xdr:colOff>
      <xdr:row>10</xdr:row>
      <xdr:rowOff>0</xdr:rowOff>
    </xdr:to>
    <xdr:cxnSp macro="">
      <xdr:nvCxnSpPr>
        <xdr:cNvPr id="145" name="直線接點 144"/>
        <xdr:cNvCxnSpPr/>
      </xdr:nvCxnSpPr>
      <xdr:spPr>
        <a:xfrm>
          <a:off x="16835437" y="4191000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8</xdr:row>
      <xdr:rowOff>11906</xdr:rowOff>
    </xdr:from>
    <xdr:to>
      <xdr:col>16</xdr:col>
      <xdr:colOff>773906</xdr:colOff>
      <xdr:row>9</xdr:row>
      <xdr:rowOff>0</xdr:rowOff>
    </xdr:to>
    <xdr:cxnSp macro="">
      <xdr:nvCxnSpPr>
        <xdr:cNvPr id="149" name="直線接點 148"/>
        <xdr:cNvCxnSpPr/>
      </xdr:nvCxnSpPr>
      <xdr:spPr>
        <a:xfrm>
          <a:off x="18692812" y="4191000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7</xdr:row>
      <xdr:rowOff>23812</xdr:rowOff>
    </xdr:from>
    <xdr:to>
      <xdr:col>18</xdr:col>
      <xdr:colOff>11906</xdr:colOff>
      <xdr:row>8</xdr:row>
      <xdr:rowOff>11906</xdr:rowOff>
    </xdr:to>
    <xdr:cxnSp macro="">
      <xdr:nvCxnSpPr>
        <xdr:cNvPr id="154" name="直線接點 153"/>
        <xdr:cNvCxnSpPr/>
      </xdr:nvCxnSpPr>
      <xdr:spPr>
        <a:xfrm>
          <a:off x="19490531" y="351234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7</xdr:row>
      <xdr:rowOff>23812</xdr:rowOff>
    </xdr:from>
    <xdr:to>
      <xdr:col>18</xdr:col>
      <xdr:colOff>11906</xdr:colOff>
      <xdr:row>8</xdr:row>
      <xdr:rowOff>11906</xdr:rowOff>
    </xdr:to>
    <xdr:cxnSp macro="">
      <xdr:nvCxnSpPr>
        <xdr:cNvPr id="155" name="直線接點 154"/>
        <xdr:cNvCxnSpPr/>
      </xdr:nvCxnSpPr>
      <xdr:spPr>
        <a:xfrm>
          <a:off x="19490531" y="351234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8</xdr:row>
      <xdr:rowOff>23812</xdr:rowOff>
    </xdr:from>
    <xdr:to>
      <xdr:col>18</xdr:col>
      <xdr:colOff>11906</xdr:colOff>
      <xdr:row>9</xdr:row>
      <xdr:rowOff>11906</xdr:rowOff>
    </xdr:to>
    <xdr:cxnSp macro="">
      <xdr:nvCxnSpPr>
        <xdr:cNvPr id="156" name="直線接點 155"/>
        <xdr:cNvCxnSpPr/>
      </xdr:nvCxnSpPr>
      <xdr:spPr>
        <a:xfrm>
          <a:off x="19490531" y="4202906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8</xdr:row>
      <xdr:rowOff>0</xdr:rowOff>
    </xdr:from>
    <xdr:to>
      <xdr:col>19</xdr:col>
      <xdr:colOff>0</xdr:colOff>
      <xdr:row>8</xdr:row>
      <xdr:rowOff>666750</xdr:rowOff>
    </xdr:to>
    <xdr:cxnSp macro="">
      <xdr:nvCxnSpPr>
        <xdr:cNvPr id="157" name="直線接點 156"/>
        <xdr:cNvCxnSpPr/>
      </xdr:nvCxnSpPr>
      <xdr:spPr>
        <a:xfrm>
          <a:off x="21074062" y="4179094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</xdr:row>
      <xdr:rowOff>11906</xdr:rowOff>
    </xdr:from>
    <xdr:to>
      <xdr:col>20</xdr:col>
      <xdr:colOff>0</xdr:colOff>
      <xdr:row>5</xdr:row>
      <xdr:rowOff>678656</xdr:rowOff>
    </xdr:to>
    <xdr:cxnSp macro="">
      <xdr:nvCxnSpPr>
        <xdr:cNvPr id="158" name="直線接點 157"/>
        <xdr:cNvCxnSpPr/>
      </xdr:nvCxnSpPr>
      <xdr:spPr>
        <a:xfrm>
          <a:off x="21847969" y="2119312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</xdr:row>
      <xdr:rowOff>11906</xdr:rowOff>
    </xdr:from>
    <xdr:to>
      <xdr:col>20</xdr:col>
      <xdr:colOff>0</xdr:colOff>
      <xdr:row>6</xdr:row>
      <xdr:rowOff>678656</xdr:rowOff>
    </xdr:to>
    <xdr:cxnSp macro="">
      <xdr:nvCxnSpPr>
        <xdr:cNvPr id="159" name="直線接點 158"/>
        <xdr:cNvCxnSpPr/>
      </xdr:nvCxnSpPr>
      <xdr:spPr>
        <a:xfrm>
          <a:off x="21847969" y="2119312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7</xdr:row>
      <xdr:rowOff>11906</xdr:rowOff>
    </xdr:from>
    <xdr:to>
      <xdr:col>20</xdr:col>
      <xdr:colOff>0</xdr:colOff>
      <xdr:row>7</xdr:row>
      <xdr:rowOff>678656</xdr:rowOff>
    </xdr:to>
    <xdr:cxnSp macro="">
      <xdr:nvCxnSpPr>
        <xdr:cNvPr id="160" name="直線接點 159"/>
        <xdr:cNvCxnSpPr/>
      </xdr:nvCxnSpPr>
      <xdr:spPr>
        <a:xfrm>
          <a:off x="21847969" y="2119312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8</xdr:row>
      <xdr:rowOff>11906</xdr:rowOff>
    </xdr:from>
    <xdr:to>
      <xdr:col>20</xdr:col>
      <xdr:colOff>0</xdr:colOff>
      <xdr:row>8</xdr:row>
      <xdr:rowOff>678656</xdr:rowOff>
    </xdr:to>
    <xdr:cxnSp macro="">
      <xdr:nvCxnSpPr>
        <xdr:cNvPr id="161" name="直線接點 160"/>
        <xdr:cNvCxnSpPr/>
      </xdr:nvCxnSpPr>
      <xdr:spPr>
        <a:xfrm>
          <a:off x="21847969" y="2119312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</xdr:row>
      <xdr:rowOff>11906</xdr:rowOff>
    </xdr:from>
    <xdr:to>
      <xdr:col>20</xdr:col>
      <xdr:colOff>0</xdr:colOff>
      <xdr:row>9</xdr:row>
      <xdr:rowOff>678656</xdr:rowOff>
    </xdr:to>
    <xdr:cxnSp macro="">
      <xdr:nvCxnSpPr>
        <xdr:cNvPr id="162" name="直線接點 161"/>
        <xdr:cNvCxnSpPr/>
      </xdr:nvCxnSpPr>
      <xdr:spPr>
        <a:xfrm>
          <a:off x="21847969" y="2119312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9</xdr:row>
      <xdr:rowOff>11906</xdr:rowOff>
    </xdr:from>
    <xdr:to>
      <xdr:col>16</xdr:col>
      <xdr:colOff>0</xdr:colOff>
      <xdr:row>9</xdr:row>
      <xdr:rowOff>678656</xdr:rowOff>
    </xdr:to>
    <xdr:cxnSp macro="">
      <xdr:nvCxnSpPr>
        <xdr:cNvPr id="163" name="直線接點 162"/>
        <xdr:cNvCxnSpPr/>
      </xdr:nvCxnSpPr>
      <xdr:spPr>
        <a:xfrm>
          <a:off x="21847969" y="55721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</xdr:row>
      <xdr:rowOff>11906</xdr:rowOff>
    </xdr:from>
    <xdr:to>
      <xdr:col>12</xdr:col>
      <xdr:colOff>0</xdr:colOff>
      <xdr:row>9</xdr:row>
      <xdr:rowOff>678656</xdr:rowOff>
    </xdr:to>
    <xdr:cxnSp macro="">
      <xdr:nvCxnSpPr>
        <xdr:cNvPr id="164" name="直線接點 163"/>
        <xdr:cNvCxnSpPr/>
      </xdr:nvCxnSpPr>
      <xdr:spPr>
        <a:xfrm>
          <a:off x="21847969" y="55721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0</xdr:rowOff>
    </xdr:from>
    <xdr:to>
      <xdr:col>16</xdr:col>
      <xdr:colOff>0</xdr:colOff>
      <xdr:row>7</xdr:row>
      <xdr:rowOff>666750</xdr:rowOff>
    </xdr:to>
    <xdr:cxnSp macro="">
      <xdr:nvCxnSpPr>
        <xdr:cNvPr id="165" name="直線接點 164"/>
        <xdr:cNvCxnSpPr/>
      </xdr:nvCxnSpPr>
      <xdr:spPr>
        <a:xfrm>
          <a:off x="17621250" y="4179094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</xdr:row>
      <xdr:rowOff>0</xdr:rowOff>
    </xdr:from>
    <xdr:to>
      <xdr:col>16</xdr:col>
      <xdr:colOff>0</xdr:colOff>
      <xdr:row>6</xdr:row>
      <xdr:rowOff>666750</xdr:rowOff>
    </xdr:to>
    <xdr:cxnSp macro="">
      <xdr:nvCxnSpPr>
        <xdr:cNvPr id="166" name="直線接點 165"/>
        <xdr:cNvCxnSpPr/>
      </xdr:nvCxnSpPr>
      <xdr:spPr>
        <a:xfrm>
          <a:off x="17621250" y="3488531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</xdr:row>
      <xdr:rowOff>0</xdr:rowOff>
    </xdr:from>
    <xdr:to>
      <xdr:col>16</xdr:col>
      <xdr:colOff>0</xdr:colOff>
      <xdr:row>5</xdr:row>
      <xdr:rowOff>666750</xdr:rowOff>
    </xdr:to>
    <xdr:cxnSp macro="">
      <xdr:nvCxnSpPr>
        <xdr:cNvPr id="167" name="直線接點 166"/>
        <xdr:cNvCxnSpPr/>
      </xdr:nvCxnSpPr>
      <xdr:spPr>
        <a:xfrm>
          <a:off x="17621250" y="2797969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9</xdr:row>
      <xdr:rowOff>23812</xdr:rowOff>
    </xdr:from>
    <xdr:to>
      <xdr:col>18</xdr:col>
      <xdr:colOff>11906</xdr:colOff>
      <xdr:row>10</xdr:row>
      <xdr:rowOff>11906</xdr:rowOff>
    </xdr:to>
    <xdr:cxnSp macro="">
      <xdr:nvCxnSpPr>
        <xdr:cNvPr id="169" name="直線接點 168"/>
        <xdr:cNvCxnSpPr/>
      </xdr:nvCxnSpPr>
      <xdr:spPr>
        <a:xfrm>
          <a:off x="19490531" y="4893468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10</xdr:row>
      <xdr:rowOff>11906</xdr:rowOff>
    </xdr:from>
    <xdr:to>
      <xdr:col>9</xdr:col>
      <xdr:colOff>11906</xdr:colOff>
      <xdr:row>10</xdr:row>
      <xdr:rowOff>666750</xdr:rowOff>
    </xdr:to>
    <xdr:cxnSp macro="">
      <xdr:nvCxnSpPr>
        <xdr:cNvPr id="170" name="直線接點 169"/>
        <xdr:cNvCxnSpPr/>
      </xdr:nvCxnSpPr>
      <xdr:spPr>
        <a:xfrm>
          <a:off x="10263187" y="5572125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60</xdr:row>
      <xdr:rowOff>23812</xdr:rowOff>
    </xdr:from>
    <xdr:to>
      <xdr:col>10</xdr:col>
      <xdr:colOff>11906</xdr:colOff>
      <xdr:row>61</xdr:row>
      <xdr:rowOff>11906</xdr:rowOff>
    </xdr:to>
    <xdr:cxnSp macro="">
      <xdr:nvCxnSpPr>
        <xdr:cNvPr id="171" name="直線接點 170"/>
        <xdr:cNvCxnSpPr/>
      </xdr:nvCxnSpPr>
      <xdr:spPr>
        <a:xfrm>
          <a:off x="11060906" y="55840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10</xdr:row>
      <xdr:rowOff>11906</xdr:rowOff>
    </xdr:from>
    <xdr:to>
      <xdr:col>10</xdr:col>
      <xdr:colOff>773906</xdr:colOff>
      <xdr:row>11</xdr:row>
      <xdr:rowOff>0</xdr:rowOff>
    </xdr:to>
    <xdr:cxnSp macro="">
      <xdr:nvCxnSpPr>
        <xdr:cNvPr id="172" name="直線接點 171"/>
        <xdr:cNvCxnSpPr/>
      </xdr:nvCxnSpPr>
      <xdr:spPr>
        <a:xfrm>
          <a:off x="12620625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9</xdr:row>
      <xdr:rowOff>23812</xdr:rowOff>
    </xdr:from>
    <xdr:to>
      <xdr:col>18</xdr:col>
      <xdr:colOff>11906</xdr:colOff>
      <xdr:row>10</xdr:row>
      <xdr:rowOff>11906</xdr:rowOff>
    </xdr:to>
    <xdr:cxnSp macro="">
      <xdr:nvCxnSpPr>
        <xdr:cNvPr id="173" name="直線接點 172"/>
        <xdr:cNvCxnSpPr/>
      </xdr:nvCxnSpPr>
      <xdr:spPr>
        <a:xfrm>
          <a:off x="19490531" y="4893468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10</xdr:row>
      <xdr:rowOff>11906</xdr:rowOff>
    </xdr:from>
    <xdr:to>
      <xdr:col>16</xdr:col>
      <xdr:colOff>773906</xdr:colOff>
      <xdr:row>11</xdr:row>
      <xdr:rowOff>0</xdr:rowOff>
    </xdr:to>
    <xdr:cxnSp macro="">
      <xdr:nvCxnSpPr>
        <xdr:cNvPr id="174" name="直線接點 173"/>
        <xdr:cNvCxnSpPr/>
      </xdr:nvCxnSpPr>
      <xdr:spPr>
        <a:xfrm>
          <a:off x="18692812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60</xdr:row>
      <xdr:rowOff>23812</xdr:rowOff>
    </xdr:from>
    <xdr:to>
      <xdr:col>18</xdr:col>
      <xdr:colOff>11906</xdr:colOff>
      <xdr:row>61</xdr:row>
      <xdr:rowOff>11906</xdr:rowOff>
    </xdr:to>
    <xdr:cxnSp macro="">
      <xdr:nvCxnSpPr>
        <xdr:cNvPr id="175" name="直線接點 174"/>
        <xdr:cNvCxnSpPr/>
      </xdr:nvCxnSpPr>
      <xdr:spPr>
        <a:xfrm>
          <a:off x="19490531" y="55840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10</xdr:row>
      <xdr:rowOff>0</xdr:rowOff>
    </xdr:from>
    <xdr:to>
      <xdr:col>19</xdr:col>
      <xdr:colOff>0</xdr:colOff>
      <xdr:row>10</xdr:row>
      <xdr:rowOff>666750</xdr:rowOff>
    </xdr:to>
    <xdr:cxnSp macro="">
      <xdr:nvCxnSpPr>
        <xdr:cNvPr id="176" name="直線接點 175"/>
        <xdr:cNvCxnSpPr/>
      </xdr:nvCxnSpPr>
      <xdr:spPr>
        <a:xfrm>
          <a:off x="21074062" y="55602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10</xdr:row>
      <xdr:rowOff>11906</xdr:rowOff>
    </xdr:from>
    <xdr:to>
      <xdr:col>12</xdr:col>
      <xdr:colOff>773906</xdr:colOff>
      <xdr:row>11</xdr:row>
      <xdr:rowOff>0</xdr:rowOff>
    </xdr:to>
    <xdr:cxnSp macro="">
      <xdr:nvCxnSpPr>
        <xdr:cNvPr id="177" name="直線接點 176"/>
        <xdr:cNvCxnSpPr/>
      </xdr:nvCxnSpPr>
      <xdr:spPr>
        <a:xfrm>
          <a:off x="14478000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60</xdr:row>
      <xdr:rowOff>23812</xdr:rowOff>
    </xdr:from>
    <xdr:to>
      <xdr:col>14</xdr:col>
      <xdr:colOff>11906</xdr:colOff>
      <xdr:row>61</xdr:row>
      <xdr:rowOff>11906</xdr:rowOff>
    </xdr:to>
    <xdr:cxnSp macro="">
      <xdr:nvCxnSpPr>
        <xdr:cNvPr id="178" name="直線接點 177"/>
        <xdr:cNvCxnSpPr/>
      </xdr:nvCxnSpPr>
      <xdr:spPr>
        <a:xfrm>
          <a:off x="15275719" y="55840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10</xdr:row>
      <xdr:rowOff>11906</xdr:rowOff>
    </xdr:from>
    <xdr:to>
      <xdr:col>14</xdr:col>
      <xdr:colOff>773906</xdr:colOff>
      <xdr:row>11</xdr:row>
      <xdr:rowOff>0</xdr:rowOff>
    </xdr:to>
    <xdr:cxnSp macro="">
      <xdr:nvCxnSpPr>
        <xdr:cNvPr id="179" name="直線接點 178"/>
        <xdr:cNvCxnSpPr/>
      </xdr:nvCxnSpPr>
      <xdr:spPr>
        <a:xfrm>
          <a:off x="16835437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9</xdr:row>
      <xdr:rowOff>23812</xdr:rowOff>
    </xdr:from>
    <xdr:to>
      <xdr:col>18</xdr:col>
      <xdr:colOff>11906</xdr:colOff>
      <xdr:row>10</xdr:row>
      <xdr:rowOff>11906</xdr:rowOff>
    </xdr:to>
    <xdr:cxnSp macro="">
      <xdr:nvCxnSpPr>
        <xdr:cNvPr id="180" name="直線接點 179"/>
        <xdr:cNvCxnSpPr/>
      </xdr:nvCxnSpPr>
      <xdr:spPr>
        <a:xfrm>
          <a:off x="19490531" y="4893468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11906</xdr:rowOff>
    </xdr:from>
    <xdr:to>
      <xdr:col>20</xdr:col>
      <xdr:colOff>0</xdr:colOff>
      <xdr:row>10</xdr:row>
      <xdr:rowOff>678656</xdr:rowOff>
    </xdr:to>
    <xdr:cxnSp macro="">
      <xdr:nvCxnSpPr>
        <xdr:cNvPr id="181" name="直線接點 180"/>
        <xdr:cNvCxnSpPr/>
      </xdr:nvCxnSpPr>
      <xdr:spPr>
        <a:xfrm>
          <a:off x="21847969" y="55721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11906</xdr:rowOff>
    </xdr:from>
    <xdr:to>
      <xdr:col>16</xdr:col>
      <xdr:colOff>0</xdr:colOff>
      <xdr:row>10</xdr:row>
      <xdr:rowOff>678656</xdr:rowOff>
    </xdr:to>
    <xdr:cxnSp macro="">
      <xdr:nvCxnSpPr>
        <xdr:cNvPr id="182" name="直線接點 181"/>
        <xdr:cNvCxnSpPr/>
      </xdr:nvCxnSpPr>
      <xdr:spPr>
        <a:xfrm>
          <a:off x="17621250" y="55721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11906</xdr:rowOff>
    </xdr:from>
    <xdr:to>
      <xdr:col>12</xdr:col>
      <xdr:colOff>0</xdr:colOff>
      <xdr:row>10</xdr:row>
      <xdr:rowOff>678656</xdr:rowOff>
    </xdr:to>
    <xdr:cxnSp macro="">
      <xdr:nvCxnSpPr>
        <xdr:cNvPr id="183" name="直線接點 182"/>
        <xdr:cNvCxnSpPr/>
      </xdr:nvCxnSpPr>
      <xdr:spPr>
        <a:xfrm>
          <a:off x="13406438" y="55721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17</xdr:row>
      <xdr:rowOff>11906</xdr:rowOff>
    </xdr:from>
    <xdr:to>
      <xdr:col>9</xdr:col>
      <xdr:colOff>11906</xdr:colOff>
      <xdr:row>17</xdr:row>
      <xdr:rowOff>666750</xdr:rowOff>
    </xdr:to>
    <xdr:cxnSp macro="">
      <xdr:nvCxnSpPr>
        <xdr:cNvPr id="203" name="直線接點 202"/>
        <xdr:cNvCxnSpPr/>
      </xdr:nvCxnSpPr>
      <xdr:spPr>
        <a:xfrm>
          <a:off x="10263187" y="5572125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17</xdr:row>
      <xdr:rowOff>23812</xdr:rowOff>
    </xdr:from>
    <xdr:to>
      <xdr:col>10</xdr:col>
      <xdr:colOff>11906</xdr:colOff>
      <xdr:row>18</xdr:row>
      <xdr:rowOff>11906</xdr:rowOff>
    </xdr:to>
    <xdr:cxnSp macro="">
      <xdr:nvCxnSpPr>
        <xdr:cNvPr id="204" name="直線接點 203"/>
        <xdr:cNvCxnSpPr/>
      </xdr:nvCxnSpPr>
      <xdr:spPr>
        <a:xfrm>
          <a:off x="11060906" y="55840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17</xdr:row>
      <xdr:rowOff>11906</xdr:rowOff>
    </xdr:from>
    <xdr:to>
      <xdr:col>10</xdr:col>
      <xdr:colOff>773906</xdr:colOff>
      <xdr:row>18</xdr:row>
      <xdr:rowOff>0</xdr:rowOff>
    </xdr:to>
    <xdr:cxnSp macro="">
      <xdr:nvCxnSpPr>
        <xdr:cNvPr id="205" name="直線接點 204"/>
        <xdr:cNvCxnSpPr/>
      </xdr:nvCxnSpPr>
      <xdr:spPr>
        <a:xfrm>
          <a:off x="12620625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17</xdr:row>
      <xdr:rowOff>11906</xdr:rowOff>
    </xdr:from>
    <xdr:to>
      <xdr:col>16</xdr:col>
      <xdr:colOff>773906</xdr:colOff>
      <xdr:row>18</xdr:row>
      <xdr:rowOff>0</xdr:rowOff>
    </xdr:to>
    <xdr:cxnSp macro="">
      <xdr:nvCxnSpPr>
        <xdr:cNvPr id="207" name="直線接點 206"/>
        <xdr:cNvCxnSpPr/>
      </xdr:nvCxnSpPr>
      <xdr:spPr>
        <a:xfrm>
          <a:off x="18692812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17</xdr:row>
      <xdr:rowOff>23812</xdr:rowOff>
    </xdr:from>
    <xdr:to>
      <xdr:col>18</xdr:col>
      <xdr:colOff>11906</xdr:colOff>
      <xdr:row>18</xdr:row>
      <xdr:rowOff>11906</xdr:rowOff>
    </xdr:to>
    <xdr:cxnSp macro="">
      <xdr:nvCxnSpPr>
        <xdr:cNvPr id="208" name="直線接點 207"/>
        <xdr:cNvCxnSpPr/>
      </xdr:nvCxnSpPr>
      <xdr:spPr>
        <a:xfrm>
          <a:off x="19490531" y="55840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17</xdr:row>
      <xdr:rowOff>0</xdr:rowOff>
    </xdr:from>
    <xdr:to>
      <xdr:col>19</xdr:col>
      <xdr:colOff>0</xdr:colOff>
      <xdr:row>17</xdr:row>
      <xdr:rowOff>666750</xdr:rowOff>
    </xdr:to>
    <xdr:cxnSp macro="">
      <xdr:nvCxnSpPr>
        <xdr:cNvPr id="209" name="直線接點 208"/>
        <xdr:cNvCxnSpPr/>
      </xdr:nvCxnSpPr>
      <xdr:spPr>
        <a:xfrm>
          <a:off x="21074062" y="55602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17</xdr:row>
      <xdr:rowOff>11906</xdr:rowOff>
    </xdr:from>
    <xdr:to>
      <xdr:col>12</xdr:col>
      <xdr:colOff>773906</xdr:colOff>
      <xdr:row>18</xdr:row>
      <xdr:rowOff>0</xdr:rowOff>
    </xdr:to>
    <xdr:cxnSp macro="">
      <xdr:nvCxnSpPr>
        <xdr:cNvPr id="210" name="直線接點 209"/>
        <xdr:cNvCxnSpPr/>
      </xdr:nvCxnSpPr>
      <xdr:spPr>
        <a:xfrm>
          <a:off x="14478000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17</xdr:row>
      <xdr:rowOff>23812</xdr:rowOff>
    </xdr:from>
    <xdr:to>
      <xdr:col>14</xdr:col>
      <xdr:colOff>11906</xdr:colOff>
      <xdr:row>18</xdr:row>
      <xdr:rowOff>11906</xdr:rowOff>
    </xdr:to>
    <xdr:cxnSp macro="">
      <xdr:nvCxnSpPr>
        <xdr:cNvPr id="211" name="直線接點 210"/>
        <xdr:cNvCxnSpPr/>
      </xdr:nvCxnSpPr>
      <xdr:spPr>
        <a:xfrm>
          <a:off x="15275719" y="55840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17</xdr:row>
      <xdr:rowOff>11906</xdr:rowOff>
    </xdr:from>
    <xdr:to>
      <xdr:col>14</xdr:col>
      <xdr:colOff>773906</xdr:colOff>
      <xdr:row>18</xdr:row>
      <xdr:rowOff>0</xdr:rowOff>
    </xdr:to>
    <xdr:cxnSp macro="">
      <xdr:nvCxnSpPr>
        <xdr:cNvPr id="212" name="直線接點 211"/>
        <xdr:cNvCxnSpPr/>
      </xdr:nvCxnSpPr>
      <xdr:spPr>
        <a:xfrm>
          <a:off x="16835437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17</xdr:row>
      <xdr:rowOff>11906</xdr:rowOff>
    </xdr:from>
    <xdr:to>
      <xdr:col>20</xdr:col>
      <xdr:colOff>0</xdr:colOff>
      <xdr:row>17</xdr:row>
      <xdr:rowOff>678656</xdr:rowOff>
    </xdr:to>
    <xdr:cxnSp macro="">
      <xdr:nvCxnSpPr>
        <xdr:cNvPr id="214" name="直線接點 213"/>
        <xdr:cNvCxnSpPr/>
      </xdr:nvCxnSpPr>
      <xdr:spPr>
        <a:xfrm>
          <a:off x="21847969" y="55721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17</xdr:row>
      <xdr:rowOff>11906</xdr:rowOff>
    </xdr:from>
    <xdr:to>
      <xdr:col>16</xdr:col>
      <xdr:colOff>0</xdr:colOff>
      <xdr:row>17</xdr:row>
      <xdr:rowOff>678656</xdr:rowOff>
    </xdr:to>
    <xdr:cxnSp macro="">
      <xdr:nvCxnSpPr>
        <xdr:cNvPr id="215" name="直線接點 214"/>
        <xdr:cNvCxnSpPr/>
      </xdr:nvCxnSpPr>
      <xdr:spPr>
        <a:xfrm>
          <a:off x="17621250" y="55721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11906</xdr:rowOff>
    </xdr:from>
    <xdr:to>
      <xdr:col>12</xdr:col>
      <xdr:colOff>0</xdr:colOff>
      <xdr:row>17</xdr:row>
      <xdr:rowOff>678656</xdr:rowOff>
    </xdr:to>
    <xdr:cxnSp macro="">
      <xdr:nvCxnSpPr>
        <xdr:cNvPr id="216" name="直線接點 215"/>
        <xdr:cNvCxnSpPr/>
      </xdr:nvCxnSpPr>
      <xdr:spPr>
        <a:xfrm>
          <a:off x="13406438" y="55721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26</xdr:row>
      <xdr:rowOff>11906</xdr:rowOff>
    </xdr:from>
    <xdr:to>
      <xdr:col>9</xdr:col>
      <xdr:colOff>11906</xdr:colOff>
      <xdr:row>26</xdr:row>
      <xdr:rowOff>666750</xdr:rowOff>
    </xdr:to>
    <xdr:cxnSp macro="">
      <xdr:nvCxnSpPr>
        <xdr:cNvPr id="239" name="直線接點 238"/>
        <xdr:cNvCxnSpPr/>
      </xdr:nvCxnSpPr>
      <xdr:spPr>
        <a:xfrm>
          <a:off x="10263187" y="5572125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26</xdr:row>
      <xdr:rowOff>23812</xdr:rowOff>
    </xdr:from>
    <xdr:to>
      <xdr:col>10</xdr:col>
      <xdr:colOff>11906</xdr:colOff>
      <xdr:row>27</xdr:row>
      <xdr:rowOff>11906</xdr:rowOff>
    </xdr:to>
    <xdr:cxnSp macro="">
      <xdr:nvCxnSpPr>
        <xdr:cNvPr id="240" name="直線接點 239"/>
        <xdr:cNvCxnSpPr/>
      </xdr:nvCxnSpPr>
      <xdr:spPr>
        <a:xfrm>
          <a:off x="11060906" y="55840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26</xdr:row>
      <xdr:rowOff>11906</xdr:rowOff>
    </xdr:from>
    <xdr:to>
      <xdr:col>10</xdr:col>
      <xdr:colOff>773906</xdr:colOff>
      <xdr:row>27</xdr:row>
      <xdr:rowOff>0</xdr:rowOff>
    </xdr:to>
    <xdr:cxnSp macro="">
      <xdr:nvCxnSpPr>
        <xdr:cNvPr id="241" name="直線接點 240"/>
        <xdr:cNvCxnSpPr/>
      </xdr:nvCxnSpPr>
      <xdr:spPr>
        <a:xfrm>
          <a:off x="12620625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26</xdr:row>
      <xdr:rowOff>11906</xdr:rowOff>
    </xdr:from>
    <xdr:to>
      <xdr:col>16</xdr:col>
      <xdr:colOff>773906</xdr:colOff>
      <xdr:row>27</xdr:row>
      <xdr:rowOff>0</xdr:rowOff>
    </xdr:to>
    <xdr:cxnSp macro="">
      <xdr:nvCxnSpPr>
        <xdr:cNvPr id="243" name="直線接點 242"/>
        <xdr:cNvCxnSpPr/>
      </xdr:nvCxnSpPr>
      <xdr:spPr>
        <a:xfrm>
          <a:off x="18692812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26</xdr:row>
      <xdr:rowOff>23812</xdr:rowOff>
    </xdr:from>
    <xdr:to>
      <xdr:col>18</xdr:col>
      <xdr:colOff>11906</xdr:colOff>
      <xdr:row>27</xdr:row>
      <xdr:rowOff>11906</xdr:rowOff>
    </xdr:to>
    <xdr:cxnSp macro="">
      <xdr:nvCxnSpPr>
        <xdr:cNvPr id="244" name="直線接點 243"/>
        <xdr:cNvCxnSpPr/>
      </xdr:nvCxnSpPr>
      <xdr:spPr>
        <a:xfrm>
          <a:off x="19490531" y="55840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26</xdr:row>
      <xdr:rowOff>0</xdr:rowOff>
    </xdr:from>
    <xdr:to>
      <xdr:col>19</xdr:col>
      <xdr:colOff>0</xdr:colOff>
      <xdr:row>26</xdr:row>
      <xdr:rowOff>666750</xdr:rowOff>
    </xdr:to>
    <xdr:cxnSp macro="">
      <xdr:nvCxnSpPr>
        <xdr:cNvPr id="245" name="直線接點 244"/>
        <xdr:cNvCxnSpPr/>
      </xdr:nvCxnSpPr>
      <xdr:spPr>
        <a:xfrm>
          <a:off x="21074062" y="55602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26</xdr:row>
      <xdr:rowOff>11906</xdr:rowOff>
    </xdr:from>
    <xdr:to>
      <xdr:col>12</xdr:col>
      <xdr:colOff>773906</xdr:colOff>
      <xdr:row>27</xdr:row>
      <xdr:rowOff>0</xdr:rowOff>
    </xdr:to>
    <xdr:cxnSp macro="">
      <xdr:nvCxnSpPr>
        <xdr:cNvPr id="246" name="直線接點 245"/>
        <xdr:cNvCxnSpPr/>
      </xdr:nvCxnSpPr>
      <xdr:spPr>
        <a:xfrm>
          <a:off x="14478000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26</xdr:row>
      <xdr:rowOff>23812</xdr:rowOff>
    </xdr:from>
    <xdr:to>
      <xdr:col>14</xdr:col>
      <xdr:colOff>11906</xdr:colOff>
      <xdr:row>27</xdr:row>
      <xdr:rowOff>11906</xdr:rowOff>
    </xdr:to>
    <xdr:cxnSp macro="">
      <xdr:nvCxnSpPr>
        <xdr:cNvPr id="247" name="直線接點 246"/>
        <xdr:cNvCxnSpPr/>
      </xdr:nvCxnSpPr>
      <xdr:spPr>
        <a:xfrm>
          <a:off x="15275719" y="55840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26</xdr:row>
      <xdr:rowOff>11906</xdr:rowOff>
    </xdr:from>
    <xdr:to>
      <xdr:col>14</xdr:col>
      <xdr:colOff>773906</xdr:colOff>
      <xdr:row>27</xdr:row>
      <xdr:rowOff>0</xdr:rowOff>
    </xdr:to>
    <xdr:cxnSp macro="">
      <xdr:nvCxnSpPr>
        <xdr:cNvPr id="248" name="直線接點 247"/>
        <xdr:cNvCxnSpPr/>
      </xdr:nvCxnSpPr>
      <xdr:spPr>
        <a:xfrm>
          <a:off x="16835437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26</xdr:row>
      <xdr:rowOff>11906</xdr:rowOff>
    </xdr:from>
    <xdr:to>
      <xdr:col>20</xdr:col>
      <xdr:colOff>0</xdr:colOff>
      <xdr:row>26</xdr:row>
      <xdr:rowOff>678656</xdr:rowOff>
    </xdr:to>
    <xdr:cxnSp macro="">
      <xdr:nvCxnSpPr>
        <xdr:cNvPr id="250" name="直線接點 249"/>
        <xdr:cNvCxnSpPr/>
      </xdr:nvCxnSpPr>
      <xdr:spPr>
        <a:xfrm>
          <a:off x="21847969" y="55721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26</xdr:row>
      <xdr:rowOff>11906</xdr:rowOff>
    </xdr:from>
    <xdr:to>
      <xdr:col>16</xdr:col>
      <xdr:colOff>0</xdr:colOff>
      <xdr:row>26</xdr:row>
      <xdr:rowOff>678656</xdr:rowOff>
    </xdr:to>
    <xdr:cxnSp macro="">
      <xdr:nvCxnSpPr>
        <xdr:cNvPr id="251" name="直線接點 250"/>
        <xdr:cNvCxnSpPr/>
      </xdr:nvCxnSpPr>
      <xdr:spPr>
        <a:xfrm>
          <a:off x="17621250" y="55721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26</xdr:row>
      <xdr:rowOff>11906</xdr:rowOff>
    </xdr:from>
    <xdr:to>
      <xdr:col>12</xdr:col>
      <xdr:colOff>0</xdr:colOff>
      <xdr:row>26</xdr:row>
      <xdr:rowOff>678656</xdr:rowOff>
    </xdr:to>
    <xdr:cxnSp macro="">
      <xdr:nvCxnSpPr>
        <xdr:cNvPr id="252" name="直線接點 251"/>
        <xdr:cNvCxnSpPr/>
      </xdr:nvCxnSpPr>
      <xdr:spPr>
        <a:xfrm>
          <a:off x="13406438" y="55721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33</xdr:row>
      <xdr:rowOff>11906</xdr:rowOff>
    </xdr:from>
    <xdr:to>
      <xdr:col>9</xdr:col>
      <xdr:colOff>11906</xdr:colOff>
      <xdr:row>33</xdr:row>
      <xdr:rowOff>666750</xdr:rowOff>
    </xdr:to>
    <xdr:cxnSp macro="">
      <xdr:nvCxnSpPr>
        <xdr:cNvPr id="275" name="直線接點 274"/>
        <xdr:cNvCxnSpPr/>
      </xdr:nvCxnSpPr>
      <xdr:spPr>
        <a:xfrm>
          <a:off x="10263187" y="5572125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33</xdr:row>
      <xdr:rowOff>23812</xdr:rowOff>
    </xdr:from>
    <xdr:to>
      <xdr:col>10</xdr:col>
      <xdr:colOff>11906</xdr:colOff>
      <xdr:row>34</xdr:row>
      <xdr:rowOff>11906</xdr:rowOff>
    </xdr:to>
    <xdr:cxnSp macro="">
      <xdr:nvCxnSpPr>
        <xdr:cNvPr id="276" name="直線接點 275"/>
        <xdr:cNvCxnSpPr/>
      </xdr:nvCxnSpPr>
      <xdr:spPr>
        <a:xfrm>
          <a:off x="11060906" y="55840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33</xdr:row>
      <xdr:rowOff>11906</xdr:rowOff>
    </xdr:from>
    <xdr:to>
      <xdr:col>10</xdr:col>
      <xdr:colOff>773906</xdr:colOff>
      <xdr:row>34</xdr:row>
      <xdr:rowOff>0</xdr:rowOff>
    </xdr:to>
    <xdr:cxnSp macro="">
      <xdr:nvCxnSpPr>
        <xdr:cNvPr id="277" name="直線接點 276"/>
        <xdr:cNvCxnSpPr/>
      </xdr:nvCxnSpPr>
      <xdr:spPr>
        <a:xfrm>
          <a:off x="12620625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33</xdr:row>
      <xdr:rowOff>11906</xdr:rowOff>
    </xdr:from>
    <xdr:to>
      <xdr:col>16</xdr:col>
      <xdr:colOff>773906</xdr:colOff>
      <xdr:row>34</xdr:row>
      <xdr:rowOff>0</xdr:rowOff>
    </xdr:to>
    <xdr:cxnSp macro="">
      <xdr:nvCxnSpPr>
        <xdr:cNvPr id="279" name="直線接點 278"/>
        <xdr:cNvCxnSpPr/>
      </xdr:nvCxnSpPr>
      <xdr:spPr>
        <a:xfrm>
          <a:off x="18692812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33</xdr:row>
      <xdr:rowOff>23812</xdr:rowOff>
    </xdr:from>
    <xdr:to>
      <xdr:col>18</xdr:col>
      <xdr:colOff>11906</xdr:colOff>
      <xdr:row>34</xdr:row>
      <xdr:rowOff>11906</xdr:rowOff>
    </xdr:to>
    <xdr:cxnSp macro="">
      <xdr:nvCxnSpPr>
        <xdr:cNvPr id="280" name="直線接點 279"/>
        <xdr:cNvCxnSpPr/>
      </xdr:nvCxnSpPr>
      <xdr:spPr>
        <a:xfrm>
          <a:off x="19490531" y="55840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33</xdr:row>
      <xdr:rowOff>0</xdr:rowOff>
    </xdr:from>
    <xdr:to>
      <xdr:col>19</xdr:col>
      <xdr:colOff>0</xdr:colOff>
      <xdr:row>33</xdr:row>
      <xdr:rowOff>666750</xdr:rowOff>
    </xdr:to>
    <xdr:cxnSp macro="">
      <xdr:nvCxnSpPr>
        <xdr:cNvPr id="281" name="直線接點 280"/>
        <xdr:cNvCxnSpPr/>
      </xdr:nvCxnSpPr>
      <xdr:spPr>
        <a:xfrm>
          <a:off x="21074062" y="55602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33</xdr:row>
      <xdr:rowOff>11906</xdr:rowOff>
    </xdr:from>
    <xdr:to>
      <xdr:col>12</xdr:col>
      <xdr:colOff>773906</xdr:colOff>
      <xdr:row>34</xdr:row>
      <xdr:rowOff>0</xdr:rowOff>
    </xdr:to>
    <xdr:cxnSp macro="">
      <xdr:nvCxnSpPr>
        <xdr:cNvPr id="282" name="直線接點 281"/>
        <xdr:cNvCxnSpPr/>
      </xdr:nvCxnSpPr>
      <xdr:spPr>
        <a:xfrm>
          <a:off x="14478000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33</xdr:row>
      <xdr:rowOff>23812</xdr:rowOff>
    </xdr:from>
    <xdr:to>
      <xdr:col>14</xdr:col>
      <xdr:colOff>11906</xdr:colOff>
      <xdr:row>34</xdr:row>
      <xdr:rowOff>11906</xdr:rowOff>
    </xdr:to>
    <xdr:cxnSp macro="">
      <xdr:nvCxnSpPr>
        <xdr:cNvPr id="283" name="直線接點 282"/>
        <xdr:cNvCxnSpPr/>
      </xdr:nvCxnSpPr>
      <xdr:spPr>
        <a:xfrm>
          <a:off x="15275719" y="55840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33</xdr:row>
      <xdr:rowOff>11906</xdr:rowOff>
    </xdr:from>
    <xdr:to>
      <xdr:col>14</xdr:col>
      <xdr:colOff>773906</xdr:colOff>
      <xdr:row>34</xdr:row>
      <xdr:rowOff>0</xdr:rowOff>
    </xdr:to>
    <xdr:cxnSp macro="">
      <xdr:nvCxnSpPr>
        <xdr:cNvPr id="284" name="直線接點 283"/>
        <xdr:cNvCxnSpPr/>
      </xdr:nvCxnSpPr>
      <xdr:spPr>
        <a:xfrm>
          <a:off x="16835437" y="5572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33</xdr:row>
      <xdr:rowOff>11906</xdr:rowOff>
    </xdr:from>
    <xdr:to>
      <xdr:col>20</xdr:col>
      <xdr:colOff>0</xdr:colOff>
      <xdr:row>33</xdr:row>
      <xdr:rowOff>678656</xdr:rowOff>
    </xdr:to>
    <xdr:cxnSp macro="">
      <xdr:nvCxnSpPr>
        <xdr:cNvPr id="286" name="直線接點 285"/>
        <xdr:cNvCxnSpPr/>
      </xdr:nvCxnSpPr>
      <xdr:spPr>
        <a:xfrm>
          <a:off x="21847969" y="55721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33</xdr:row>
      <xdr:rowOff>11906</xdr:rowOff>
    </xdr:from>
    <xdr:to>
      <xdr:col>16</xdr:col>
      <xdr:colOff>0</xdr:colOff>
      <xdr:row>33</xdr:row>
      <xdr:rowOff>678656</xdr:rowOff>
    </xdr:to>
    <xdr:cxnSp macro="">
      <xdr:nvCxnSpPr>
        <xdr:cNvPr id="287" name="直線接點 286"/>
        <xdr:cNvCxnSpPr/>
      </xdr:nvCxnSpPr>
      <xdr:spPr>
        <a:xfrm>
          <a:off x="17621250" y="55721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33</xdr:row>
      <xdr:rowOff>11906</xdr:rowOff>
    </xdr:from>
    <xdr:to>
      <xdr:col>12</xdr:col>
      <xdr:colOff>0</xdr:colOff>
      <xdr:row>33</xdr:row>
      <xdr:rowOff>678656</xdr:rowOff>
    </xdr:to>
    <xdr:cxnSp macro="">
      <xdr:nvCxnSpPr>
        <xdr:cNvPr id="288" name="直線接點 287"/>
        <xdr:cNvCxnSpPr/>
      </xdr:nvCxnSpPr>
      <xdr:spPr>
        <a:xfrm>
          <a:off x="13406438" y="55721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33</xdr:row>
      <xdr:rowOff>23812</xdr:rowOff>
    </xdr:from>
    <xdr:to>
      <xdr:col>18</xdr:col>
      <xdr:colOff>11906</xdr:colOff>
      <xdr:row>34</xdr:row>
      <xdr:rowOff>11906</xdr:rowOff>
    </xdr:to>
    <xdr:cxnSp macro="">
      <xdr:nvCxnSpPr>
        <xdr:cNvPr id="289" name="直線接點 288"/>
        <xdr:cNvCxnSpPr/>
      </xdr:nvCxnSpPr>
      <xdr:spPr>
        <a:xfrm>
          <a:off x="19490531" y="55840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37</xdr:row>
      <xdr:rowOff>11906</xdr:rowOff>
    </xdr:from>
    <xdr:to>
      <xdr:col>9</xdr:col>
      <xdr:colOff>11906</xdr:colOff>
      <xdr:row>37</xdr:row>
      <xdr:rowOff>666750</xdr:rowOff>
    </xdr:to>
    <xdr:cxnSp macro="">
      <xdr:nvCxnSpPr>
        <xdr:cNvPr id="305" name="直線接點 304"/>
        <xdr:cNvCxnSpPr/>
      </xdr:nvCxnSpPr>
      <xdr:spPr>
        <a:xfrm>
          <a:off x="10263187" y="22145625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37</xdr:row>
      <xdr:rowOff>23812</xdr:rowOff>
    </xdr:from>
    <xdr:to>
      <xdr:col>10</xdr:col>
      <xdr:colOff>11906</xdr:colOff>
      <xdr:row>38</xdr:row>
      <xdr:rowOff>11906</xdr:rowOff>
    </xdr:to>
    <xdr:cxnSp macro="">
      <xdr:nvCxnSpPr>
        <xdr:cNvPr id="306" name="直線接點 305"/>
        <xdr:cNvCxnSpPr/>
      </xdr:nvCxnSpPr>
      <xdr:spPr>
        <a:xfrm>
          <a:off x="11060906" y="221575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37</xdr:row>
      <xdr:rowOff>11906</xdr:rowOff>
    </xdr:from>
    <xdr:to>
      <xdr:col>10</xdr:col>
      <xdr:colOff>773906</xdr:colOff>
      <xdr:row>38</xdr:row>
      <xdr:rowOff>0</xdr:rowOff>
    </xdr:to>
    <xdr:cxnSp macro="">
      <xdr:nvCxnSpPr>
        <xdr:cNvPr id="307" name="直線接點 306"/>
        <xdr:cNvCxnSpPr/>
      </xdr:nvCxnSpPr>
      <xdr:spPr>
        <a:xfrm>
          <a:off x="12620625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37</xdr:row>
      <xdr:rowOff>11906</xdr:rowOff>
    </xdr:from>
    <xdr:to>
      <xdr:col>16</xdr:col>
      <xdr:colOff>773906</xdr:colOff>
      <xdr:row>38</xdr:row>
      <xdr:rowOff>0</xdr:rowOff>
    </xdr:to>
    <xdr:cxnSp macro="">
      <xdr:nvCxnSpPr>
        <xdr:cNvPr id="308" name="直線接點 307"/>
        <xdr:cNvCxnSpPr/>
      </xdr:nvCxnSpPr>
      <xdr:spPr>
        <a:xfrm>
          <a:off x="18692812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37</xdr:row>
      <xdr:rowOff>23812</xdr:rowOff>
    </xdr:from>
    <xdr:to>
      <xdr:col>18</xdr:col>
      <xdr:colOff>11906</xdr:colOff>
      <xdr:row>38</xdr:row>
      <xdr:rowOff>11906</xdr:rowOff>
    </xdr:to>
    <xdr:cxnSp macro="">
      <xdr:nvCxnSpPr>
        <xdr:cNvPr id="309" name="直線接點 308"/>
        <xdr:cNvCxnSpPr/>
      </xdr:nvCxnSpPr>
      <xdr:spPr>
        <a:xfrm>
          <a:off x="19490531" y="22157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37</xdr:row>
      <xdr:rowOff>0</xdr:rowOff>
    </xdr:from>
    <xdr:to>
      <xdr:col>19</xdr:col>
      <xdr:colOff>0</xdr:colOff>
      <xdr:row>37</xdr:row>
      <xdr:rowOff>666750</xdr:rowOff>
    </xdr:to>
    <xdr:cxnSp macro="">
      <xdr:nvCxnSpPr>
        <xdr:cNvPr id="310" name="直線接點 309"/>
        <xdr:cNvCxnSpPr/>
      </xdr:nvCxnSpPr>
      <xdr:spPr>
        <a:xfrm>
          <a:off x="21074062" y="221337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37</xdr:row>
      <xdr:rowOff>11906</xdr:rowOff>
    </xdr:from>
    <xdr:to>
      <xdr:col>12</xdr:col>
      <xdr:colOff>773906</xdr:colOff>
      <xdr:row>38</xdr:row>
      <xdr:rowOff>0</xdr:rowOff>
    </xdr:to>
    <xdr:cxnSp macro="">
      <xdr:nvCxnSpPr>
        <xdr:cNvPr id="311" name="直線接點 310"/>
        <xdr:cNvCxnSpPr/>
      </xdr:nvCxnSpPr>
      <xdr:spPr>
        <a:xfrm>
          <a:off x="14478000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37</xdr:row>
      <xdr:rowOff>23812</xdr:rowOff>
    </xdr:from>
    <xdr:to>
      <xdr:col>14</xdr:col>
      <xdr:colOff>11906</xdr:colOff>
      <xdr:row>38</xdr:row>
      <xdr:rowOff>11906</xdr:rowOff>
    </xdr:to>
    <xdr:cxnSp macro="">
      <xdr:nvCxnSpPr>
        <xdr:cNvPr id="312" name="直線接點 311"/>
        <xdr:cNvCxnSpPr/>
      </xdr:nvCxnSpPr>
      <xdr:spPr>
        <a:xfrm>
          <a:off x="15275719" y="221575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37</xdr:row>
      <xdr:rowOff>11906</xdr:rowOff>
    </xdr:from>
    <xdr:to>
      <xdr:col>14</xdr:col>
      <xdr:colOff>773906</xdr:colOff>
      <xdr:row>38</xdr:row>
      <xdr:rowOff>0</xdr:rowOff>
    </xdr:to>
    <xdr:cxnSp macro="">
      <xdr:nvCxnSpPr>
        <xdr:cNvPr id="313" name="直線接點 312"/>
        <xdr:cNvCxnSpPr/>
      </xdr:nvCxnSpPr>
      <xdr:spPr>
        <a:xfrm>
          <a:off x="16835437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37</xdr:row>
      <xdr:rowOff>11906</xdr:rowOff>
    </xdr:from>
    <xdr:to>
      <xdr:col>20</xdr:col>
      <xdr:colOff>0</xdr:colOff>
      <xdr:row>37</xdr:row>
      <xdr:rowOff>678656</xdr:rowOff>
    </xdr:to>
    <xdr:cxnSp macro="">
      <xdr:nvCxnSpPr>
        <xdr:cNvPr id="314" name="直線接點 313"/>
        <xdr:cNvCxnSpPr/>
      </xdr:nvCxnSpPr>
      <xdr:spPr>
        <a:xfrm>
          <a:off x="21847969" y="221456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37</xdr:row>
      <xdr:rowOff>11906</xdr:rowOff>
    </xdr:from>
    <xdr:to>
      <xdr:col>16</xdr:col>
      <xdr:colOff>0</xdr:colOff>
      <xdr:row>37</xdr:row>
      <xdr:rowOff>678656</xdr:rowOff>
    </xdr:to>
    <xdr:cxnSp macro="">
      <xdr:nvCxnSpPr>
        <xdr:cNvPr id="315" name="直線接點 314"/>
        <xdr:cNvCxnSpPr/>
      </xdr:nvCxnSpPr>
      <xdr:spPr>
        <a:xfrm>
          <a:off x="17621250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37</xdr:row>
      <xdr:rowOff>11906</xdr:rowOff>
    </xdr:from>
    <xdr:to>
      <xdr:col>12</xdr:col>
      <xdr:colOff>0</xdr:colOff>
      <xdr:row>37</xdr:row>
      <xdr:rowOff>678656</xdr:rowOff>
    </xdr:to>
    <xdr:cxnSp macro="">
      <xdr:nvCxnSpPr>
        <xdr:cNvPr id="316" name="直線接點 315"/>
        <xdr:cNvCxnSpPr/>
      </xdr:nvCxnSpPr>
      <xdr:spPr>
        <a:xfrm>
          <a:off x="13406438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38</xdr:row>
      <xdr:rowOff>11906</xdr:rowOff>
    </xdr:from>
    <xdr:to>
      <xdr:col>9</xdr:col>
      <xdr:colOff>11906</xdr:colOff>
      <xdr:row>38</xdr:row>
      <xdr:rowOff>666750</xdr:rowOff>
    </xdr:to>
    <xdr:cxnSp macro="">
      <xdr:nvCxnSpPr>
        <xdr:cNvPr id="331" name="直線接點 330"/>
        <xdr:cNvCxnSpPr/>
      </xdr:nvCxnSpPr>
      <xdr:spPr>
        <a:xfrm>
          <a:off x="10263187" y="22145625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38</xdr:row>
      <xdr:rowOff>23812</xdr:rowOff>
    </xdr:from>
    <xdr:to>
      <xdr:col>10</xdr:col>
      <xdr:colOff>11906</xdr:colOff>
      <xdr:row>39</xdr:row>
      <xdr:rowOff>11906</xdr:rowOff>
    </xdr:to>
    <xdr:cxnSp macro="">
      <xdr:nvCxnSpPr>
        <xdr:cNvPr id="332" name="直線接點 331"/>
        <xdr:cNvCxnSpPr/>
      </xdr:nvCxnSpPr>
      <xdr:spPr>
        <a:xfrm>
          <a:off x="11060906" y="221575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38</xdr:row>
      <xdr:rowOff>11906</xdr:rowOff>
    </xdr:from>
    <xdr:to>
      <xdr:col>10</xdr:col>
      <xdr:colOff>773906</xdr:colOff>
      <xdr:row>39</xdr:row>
      <xdr:rowOff>0</xdr:rowOff>
    </xdr:to>
    <xdr:cxnSp macro="">
      <xdr:nvCxnSpPr>
        <xdr:cNvPr id="333" name="直線接點 332"/>
        <xdr:cNvCxnSpPr/>
      </xdr:nvCxnSpPr>
      <xdr:spPr>
        <a:xfrm>
          <a:off x="12620625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38</xdr:row>
      <xdr:rowOff>11906</xdr:rowOff>
    </xdr:from>
    <xdr:to>
      <xdr:col>16</xdr:col>
      <xdr:colOff>773906</xdr:colOff>
      <xdr:row>39</xdr:row>
      <xdr:rowOff>0</xdr:rowOff>
    </xdr:to>
    <xdr:cxnSp macro="">
      <xdr:nvCxnSpPr>
        <xdr:cNvPr id="334" name="直線接點 333"/>
        <xdr:cNvCxnSpPr/>
      </xdr:nvCxnSpPr>
      <xdr:spPr>
        <a:xfrm>
          <a:off x="18692812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38</xdr:row>
      <xdr:rowOff>23812</xdr:rowOff>
    </xdr:from>
    <xdr:to>
      <xdr:col>18</xdr:col>
      <xdr:colOff>11906</xdr:colOff>
      <xdr:row>39</xdr:row>
      <xdr:rowOff>11906</xdr:rowOff>
    </xdr:to>
    <xdr:cxnSp macro="">
      <xdr:nvCxnSpPr>
        <xdr:cNvPr id="335" name="直線接點 334"/>
        <xdr:cNvCxnSpPr/>
      </xdr:nvCxnSpPr>
      <xdr:spPr>
        <a:xfrm>
          <a:off x="19490531" y="22157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38</xdr:row>
      <xdr:rowOff>0</xdr:rowOff>
    </xdr:from>
    <xdr:to>
      <xdr:col>19</xdr:col>
      <xdr:colOff>0</xdr:colOff>
      <xdr:row>38</xdr:row>
      <xdr:rowOff>666750</xdr:rowOff>
    </xdr:to>
    <xdr:cxnSp macro="">
      <xdr:nvCxnSpPr>
        <xdr:cNvPr id="336" name="直線接點 335"/>
        <xdr:cNvCxnSpPr/>
      </xdr:nvCxnSpPr>
      <xdr:spPr>
        <a:xfrm>
          <a:off x="21074062" y="221337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38</xdr:row>
      <xdr:rowOff>11906</xdr:rowOff>
    </xdr:from>
    <xdr:to>
      <xdr:col>12</xdr:col>
      <xdr:colOff>773906</xdr:colOff>
      <xdr:row>39</xdr:row>
      <xdr:rowOff>0</xdr:rowOff>
    </xdr:to>
    <xdr:cxnSp macro="">
      <xdr:nvCxnSpPr>
        <xdr:cNvPr id="337" name="直線接點 336"/>
        <xdr:cNvCxnSpPr/>
      </xdr:nvCxnSpPr>
      <xdr:spPr>
        <a:xfrm>
          <a:off x="14478000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38</xdr:row>
      <xdr:rowOff>23812</xdr:rowOff>
    </xdr:from>
    <xdr:to>
      <xdr:col>14</xdr:col>
      <xdr:colOff>11906</xdr:colOff>
      <xdr:row>39</xdr:row>
      <xdr:rowOff>11906</xdr:rowOff>
    </xdr:to>
    <xdr:cxnSp macro="">
      <xdr:nvCxnSpPr>
        <xdr:cNvPr id="338" name="直線接點 337"/>
        <xdr:cNvCxnSpPr/>
      </xdr:nvCxnSpPr>
      <xdr:spPr>
        <a:xfrm>
          <a:off x="15275719" y="221575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38</xdr:row>
      <xdr:rowOff>11906</xdr:rowOff>
    </xdr:from>
    <xdr:to>
      <xdr:col>14</xdr:col>
      <xdr:colOff>773906</xdr:colOff>
      <xdr:row>39</xdr:row>
      <xdr:rowOff>0</xdr:rowOff>
    </xdr:to>
    <xdr:cxnSp macro="">
      <xdr:nvCxnSpPr>
        <xdr:cNvPr id="339" name="直線接點 338"/>
        <xdr:cNvCxnSpPr/>
      </xdr:nvCxnSpPr>
      <xdr:spPr>
        <a:xfrm>
          <a:off x="16835437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38</xdr:row>
      <xdr:rowOff>11906</xdr:rowOff>
    </xdr:from>
    <xdr:to>
      <xdr:col>20</xdr:col>
      <xdr:colOff>0</xdr:colOff>
      <xdr:row>38</xdr:row>
      <xdr:rowOff>678656</xdr:rowOff>
    </xdr:to>
    <xdr:cxnSp macro="">
      <xdr:nvCxnSpPr>
        <xdr:cNvPr id="340" name="直線接點 339"/>
        <xdr:cNvCxnSpPr/>
      </xdr:nvCxnSpPr>
      <xdr:spPr>
        <a:xfrm>
          <a:off x="21847969" y="221456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38</xdr:row>
      <xdr:rowOff>11906</xdr:rowOff>
    </xdr:from>
    <xdr:to>
      <xdr:col>16</xdr:col>
      <xdr:colOff>0</xdr:colOff>
      <xdr:row>38</xdr:row>
      <xdr:rowOff>678656</xdr:rowOff>
    </xdr:to>
    <xdr:cxnSp macro="">
      <xdr:nvCxnSpPr>
        <xdr:cNvPr id="341" name="直線接點 340"/>
        <xdr:cNvCxnSpPr/>
      </xdr:nvCxnSpPr>
      <xdr:spPr>
        <a:xfrm>
          <a:off x="17621250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</xdr:row>
      <xdr:rowOff>11906</xdr:rowOff>
    </xdr:from>
    <xdr:to>
      <xdr:col>12</xdr:col>
      <xdr:colOff>0</xdr:colOff>
      <xdr:row>38</xdr:row>
      <xdr:rowOff>678656</xdr:rowOff>
    </xdr:to>
    <xdr:cxnSp macro="">
      <xdr:nvCxnSpPr>
        <xdr:cNvPr id="342" name="直線接點 341"/>
        <xdr:cNvCxnSpPr/>
      </xdr:nvCxnSpPr>
      <xdr:spPr>
        <a:xfrm>
          <a:off x="13406438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39</xdr:row>
      <xdr:rowOff>11906</xdr:rowOff>
    </xdr:from>
    <xdr:to>
      <xdr:col>9</xdr:col>
      <xdr:colOff>11906</xdr:colOff>
      <xdr:row>39</xdr:row>
      <xdr:rowOff>666750</xdr:rowOff>
    </xdr:to>
    <xdr:cxnSp macro="">
      <xdr:nvCxnSpPr>
        <xdr:cNvPr id="357" name="直線接點 356"/>
        <xdr:cNvCxnSpPr/>
      </xdr:nvCxnSpPr>
      <xdr:spPr>
        <a:xfrm>
          <a:off x="10263187" y="22145625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39</xdr:row>
      <xdr:rowOff>23812</xdr:rowOff>
    </xdr:from>
    <xdr:to>
      <xdr:col>10</xdr:col>
      <xdr:colOff>11906</xdr:colOff>
      <xdr:row>40</xdr:row>
      <xdr:rowOff>11906</xdr:rowOff>
    </xdr:to>
    <xdr:cxnSp macro="">
      <xdr:nvCxnSpPr>
        <xdr:cNvPr id="358" name="直線接點 357"/>
        <xdr:cNvCxnSpPr/>
      </xdr:nvCxnSpPr>
      <xdr:spPr>
        <a:xfrm>
          <a:off x="11060906" y="221575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39</xdr:row>
      <xdr:rowOff>11906</xdr:rowOff>
    </xdr:from>
    <xdr:to>
      <xdr:col>10</xdr:col>
      <xdr:colOff>773906</xdr:colOff>
      <xdr:row>40</xdr:row>
      <xdr:rowOff>0</xdr:rowOff>
    </xdr:to>
    <xdr:cxnSp macro="">
      <xdr:nvCxnSpPr>
        <xdr:cNvPr id="359" name="直線接點 358"/>
        <xdr:cNvCxnSpPr/>
      </xdr:nvCxnSpPr>
      <xdr:spPr>
        <a:xfrm>
          <a:off x="12620625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39</xdr:row>
      <xdr:rowOff>11906</xdr:rowOff>
    </xdr:from>
    <xdr:to>
      <xdr:col>16</xdr:col>
      <xdr:colOff>773906</xdr:colOff>
      <xdr:row>40</xdr:row>
      <xdr:rowOff>0</xdr:rowOff>
    </xdr:to>
    <xdr:cxnSp macro="">
      <xdr:nvCxnSpPr>
        <xdr:cNvPr id="360" name="直線接點 359"/>
        <xdr:cNvCxnSpPr/>
      </xdr:nvCxnSpPr>
      <xdr:spPr>
        <a:xfrm>
          <a:off x="18692812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39</xdr:row>
      <xdr:rowOff>23812</xdr:rowOff>
    </xdr:from>
    <xdr:to>
      <xdr:col>18</xdr:col>
      <xdr:colOff>11906</xdr:colOff>
      <xdr:row>40</xdr:row>
      <xdr:rowOff>11906</xdr:rowOff>
    </xdr:to>
    <xdr:cxnSp macro="">
      <xdr:nvCxnSpPr>
        <xdr:cNvPr id="361" name="直線接點 360"/>
        <xdr:cNvCxnSpPr/>
      </xdr:nvCxnSpPr>
      <xdr:spPr>
        <a:xfrm>
          <a:off x="19490531" y="22157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39</xdr:row>
      <xdr:rowOff>0</xdr:rowOff>
    </xdr:from>
    <xdr:to>
      <xdr:col>19</xdr:col>
      <xdr:colOff>0</xdr:colOff>
      <xdr:row>39</xdr:row>
      <xdr:rowOff>666750</xdr:rowOff>
    </xdr:to>
    <xdr:cxnSp macro="">
      <xdr:nvCxnSpPr>
        <xdr:cNvPr id="362" name="直線接點 361"/>
        <xdr:cNvCxnSpPr/>
      </xdr:nvCxnSpPr>
      <xdr:spPr>
        <a:xfrm>
          <a:off x="21074062" y="221337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39</xdr:row>
      <xdr:rowOff>11906</xdr:rowOff>
    </xdr:from>
    <xdr:to>
      <xdr:col>12</xdr:col>
      <xdr:colOff>773906</xdr:colOff>
      <xdr:row>40</xdr:row>
      <xdr:rowOff>0</xdr:rowOff>
    </xdr:to>
    <xdr:cxnSp macro="">
      <xdr:nvCxnSpPr>
        <xdr:cNvPr id="363" name="直線接點 362"/>
        <xdr:cNvCxnSpPr/>
      </xdr:nvCxnSpPr>
      <xdr:spPr>
        <a:xfrm>
          <a:off x="14478000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39</xdr:row>
      <xdr:rowOff>23812</xdr:rowOff>
    </xdr:from>
    <xdr:to>
      <xdr:col>14</xdr:col>
      <xdr:colOff>11906</xdr:colOff>
      <xdr:row>40</xdr:row>
      <xdr:rowOff>11906</xdr:rowOff>
    </xdr:to>
    <xdr:cxnSp macro="">
      <xdr:nvCxnSpPr>
        <xdr:cNvPr id="364" name="直線接點 363"/>
        <xdr:cNvCxnSpPr/>
      </xdr:nvCxnSpPr>
      <xdr:spPr>
        <a:xfrm>
          <a:off x="15275719" y="221575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39</xdr:row>
      <xdr:rowOff>11906</xdr:rowOff>
    </xdr:from>
    <xdr:to>
      <xdr:col>14</xdr:col>
      <xdr:colOff>773906</xdr:colOff>
      <xdr:row>40</xdr:row>
      <xdr:rowOff>0</xdr:rowOff>
    </xdr:to>
    <xdr:cxnSp macro="">
      <xdr:nvCxnSpPr>
        <xdr:cNvPr id="365" name="直線接點 364"/>
        <xdr:cNvCxnSpPr/>
      </xdr:nvCxnSpPr>
      <xdr:spPr>
        <a:xfrm>
          <a:off x="16835437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39</xdr:row>
      <xdr:rowOff>11906</xdr:rowOff>
    </xdr:from>
    <xdr:to>
      <xdr:col>20</xdr:col>
      <xdr:colOff>0</xdr:colOff>
      <xdr:row>39</xdr:row>
      <xdr:rowOff>678656</xdr:rowOff>
    </xdr:to>
    <xdr:cxnSp macro="">
      <xdr:nvCxnSpPr>
        <xdr:cNvPr id="366" name="直線接點 365"/>
        <xdr:cNvCxnSpPr/>
      </xdr:nvCxnSpPr>
      <xdr:spPr>
        <a:xfrm>
          <a:off x="21847969" y="221456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39</xdr:row>
      <xdr:rowOff>11906</xdr:rowOff>
    </xdr:from>
    <xdr:to>
      <xdr:col>16</xdr:col>
      <xdr:colOff>0</xdr:colOff>
      <xdr:row>39</xdr:row>
      <xdr:rowOff>678656</xdr:rowOff>
    </xdr:to>
    <xdr:cxnSp macro="">
      <xdr:nvCxnSpPr>
        <xdr:cNvPr id="367" name="直線接點 366"/>
        <xdr:cNvCxnSpPr/>
      </xdr:nvCxnSpPr>
      <xdr:spPr>
        <a:xfrm>
          <a:off x="17621250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39</xdr:row>
      <xdr:rowOff>11906</xdr:rowOff>
    </xdr:from>
    <xdr:to>
      <xdr:col>12</xdr:col>
      <xdr:colOff>0</xdr:colOff>
      <xdr:row>39</xdr:row>
      <xdr:rowOff>678656</xdr:rowOff>
    </xdr:to>
    <xdr:cxnSp macro="">
      <xdr:nvCxnSpPr>
        <xdr:cNvPr id="368" name="直線接點 367"/>
        <xdr:cNvCxnSpPr/>
      </xdr:nvCxnSpPr>
      <xdr:spPr>
        <a:xfrm>
          <a:off x="13406438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41</xdr:row>
      <xdr:rowOff>11906</xdr:rowOff>
    </xdr:from>
    <xdr:to>
      <xdr:col>9</xdr:col>
      <xdr:colOff>11906</xdr:colOff>
      <xdr:row>41</xdr:row>
      <xdr:rowOff>666750</xdr:rowOff>
    </xdr:to>
    <xdr:cxnSp macro="">
      <xdr:nvCxnSpPr>
        <xdr:cNvPr id="383" name="直線接點 382"/>
        <xdr:cNvCxnSpPr/>
      </xdr:nvCxnSpPr>
      <xdr:spPr>
        <a:xfrm>
          <a:off x="10263187" y="22145625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41</xdr:row>
      <xdr:rowOff>23812</xdr:rowOff>
    </xdr:from>
    <xdr:to>
      <xdr:col>10</xdr:col>
      <xdr:colOff>11906</xdr:colOff>
      <xdr:row>42</xdr:row>
      <xdr:rowOff>11906</xdr:rowOff>
    </xdr:to>
    <xdr:cxnSp macro="">
      <xdr:nvCxnSpPr>
        <xdr:cNvPr id="384" name="直線接點 383"/>
        <xdr:cNvCxnSpPr/>
      </xdr:nvCxnSpPr>
      <xdr:spPr>
        <a:xfrm>
          <a:off x="11060906" y="221575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41</xdr:row>
      <xdr:rowOff>11906</xdr:rowOff>
    </xdr:from>
    <xdr:to>
      <xdr:col>10</xdr:col>
      <xdr:colOff>773906</xdr:colOff>
      <xdr:row>42</xdr:row>
      <xdr:rowOff>0</xdr:rowOff>
    </xdr:to>
    <xdr:cxnSp macro="">
      <xdr:nvCxnSpPr>
        <xdr:cNvPr id="385" name="直線接點 384"/>
        <xdr:cNvCxnSpPr/>
      </xdr:nvCxnSpPr>
      <xdr:spPr>
        <a:xfrm>
          <a:off x="12620625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41</xdr:row>
      <xdr:rowOff>11906</xdr:rowOff>
    </xdr:from>
    <xdr:to>
      <xdr:col>16</xdr:col>
      <xdr:colOff>773906</xdr:colOff>
      <xdr:row>42</xdr:row>
      <xdr:rowOff>0</xdr:rowOff>
    </xdr:to>
    <xdr:cxnSp macro="">
      <xdr:nvCxnSpPr>
        <xdr:cNvPr id="386" name="直線接點 385"/>
        <xdr:cNvCxnSpPr/>
      </xdr:nvCxnSpPr>
      <xdr:spPr>
        <a:xfrm>
          <a:off x="18692812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41</xdr:row>
      <xdr:rowOff>23812</xdr:rowOff>
    </xdr:from>
    <xdr:to>
      <xdr:col>18</xdr:col>
      <xdr:colOff>11906</xdr:colOff>
      <xdr:row>42</xdr:row>
      <xdr:rowOff>11906</xdr:rowOff>
    </xdr:to>
    <xdr:cxnSp macro="">
      <xdr:nvCxnSpPr>
        <xdr:cNvPr id="387" name="直線接點 386"/>
        <xdr:cNvCxnSpPr/>
      </xdr:nvCxnSpPr>
      <xdr:spPr>
        <a:xfrm>
          <a:off x="19490531" y="22157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41</xdr:row>
      <xdr:rowOff>0</xdr:rowOff>
    </xdr:from>
    <xdr:to>
      <xdr:col>19</xdr:col>
      <xdr:colOff>0</xdr:colOff>
      <xdr:row>41</xdr:row>
      <xdr:rowOff>666750</xdr:rowOff>
    </xdr:to>
    <xdr:cxnSp macro="">
      <xdr:nvCxnSpPr>
        <xdr:cNvPr id="388" name="直線接點 387"/>
        <xdr:cNvCxnSpPr/>
      </xdr:nvCxnSpPr>
      <xdr:spPr>
        <a:xfrm>
          <a:off x="21074062" y="221337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41</xdr:row>
      <xdr:rowOff>11906</xdr:rowOff>
    </xdr:from>
    <xdr:to>
      <xdr:col>12</xdr:col>
      <xdr:colOff>773906</xdr:colOff>
      <xdr:row>42</xdr:row>
      <xdr:rowOff>0</xdr:rowOff>
    </xdr:to>
    <xdr:cxnSp macro="">
      <xdr:nvCxnSpPr>
        <xdr:cNvPr id="389" name="直線接點 388"/>
        <xdr:cNvCxnSpPr/>
      </xdr:nvCxnSpPr>
      <xdr:spPr>
        <a:xfrm>
          <a:off x="14478000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41</xdr:row>
      <xdr:rowOff>23812</xdr:rowOff>
    </xdr:from>
    <xdr:to>
      <xdr:col>14</xdr:col>
      <xdr:colOff>11906</xdr:colOff>
      <xdr:row>42</xdr:row>
      <xdr:rowOff>11906</xdr:rowOff>
    </xdr:to>
    <xdr:cxnSp macro="">
      <xdr:nvCxnSpPr>
        <xdr:cNvPr id="390" name="直線接點 389"/>
        <xdr:cNvCxnSpPr/>
      </xdr:nvCxnSpPr>
      <xdr:spPr>
        <a:xfrm>
          <a:off x="15275719" y="221575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41</xdr:row>
      <xdr:rowOff>11906</xdr:rowOff>
    </xdr:from>
    <xdr:to>
      <xdr:col>14</xdr:col>
      <xdr:colOff>773906</xdr:colOff>
      <xdr:row>42</xdr:row>
      <xdr:rowOff>0</xdr:rowOff>
    </xdr:to>
    <xdr:cxnSp macro="">
      <xdr:nvCxnSpPr>
        <xdr:cNvPr id="391" name="直線接點 390"/>
        <xdr:cNvCxnSpPr/>
      </xdr:nvCxnSpPr>
      <xdr:spPr>
        <a:xfrm>
          <a:off x="16835437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41</xdr:row>
      <xdr:rowOff>11906</xdr:rowOff>
    </xdr:from>
    <xdr:to>
      <xdr:col>20</xdr:col>
      <xdr:colOff>0</xdr:colOff>
      <xdr:row>41</xdr:row>
      <xdr:rowOff>678656</xdr:rowOff>
    </xdr:to>
    <xdr:cxnSp macro="">
      <xdr:nvCxnSpPr>
        <xdr:cNvPr id="392" name="直線接點 391"/>
        <xdr:cNvCxnSpPr/>
      </xdr:nvCxnSpPr>
      <xdr:spPr>
        <a:xfrm>
          <a:off x="21847969" y="221456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41</xdr:row>
      <xdr:rowOff>11906</xdr:rowOff>
    </xdr:from>
    <xdr:to>
      <xdr:col>16</xdr:col>
      <xdr:colOff>0</xdr:colOff>
      <xdr:row>41</xdr:row>
      <xdr:rowOff>678656</xdr:rowOff>
    </xdr:to>
    <xdr:cxnSp macro="">
      <xdr:nvCxnSpPr>
        <xdr:cNvPr id="393" name="直線接點 392"/>
        <xdr:cNvCxnSpPr/>
      </xdr:nvCxnSpPr>
      <xdr:spPr>
        <a:xfrm>
          <a:off x="17621250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41</xdr:row>
      <xdr:rowOff>11906</xdr:rowOff>
    </xdr:from>
    <xdr:to>
      <xdr:col>12</xdr:col>
      <xdr:colOff>0</xdr:colOff>
      <xdr:row>41</xdr:row>
      <xdr:rowOff>678656</xdr:rowOff>
    </xdr:to>
    <xdr:cxnSp macro="">
      <xdr:nvCxnSpPr>
        <xdr:cNvPr id="394" name="直線接點 393"/>
        <xdr:cNvCxnSpPr/>
      </xdr:nvCxnSpPr>
      <xdr:spPr>
        <a:xfrm>
          <a:off x="13406438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54</xdr:row>
      <xdr:rowOff>23812</xdr:rowOff>
    </xdr:from>
    <xdr:to>
      <xdr:col>9</xdr:col>
      <xdr:colOff>0</xdr:colOff>
      <xdr:row>54</xdr:row>
      <xdr:rowOff>678656</xdr:rowOff>
    </xdr:to>
    <xdr:cxnSp macro="">
      <xdr:nvCxnSpPr>
        <xdr:cNvPr id="409" name="直線接點 408"/>
        <xdr:cNvCxnSpPr/>
      </xdr:nvCxnSpPr>
      <xdr:spPr>
        <a:xfrm>
          <a:off x="10251281" y="35683031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54</xdr:row>
      <xdr:rowOff>23812</xdr:rowOff>
    </xdr:from>
    <xdr:to>
      <xdr:col>10</xdr:col>
      <xdr:colOff>11906</xdr:colOff>
      <xdr:row>55</xdr:row>
      <xdr:rowOff>11906</xdr:rowOff>
    </xdr:to>
    <xdr:cxnSp macro="">
      <xdr:nvCxnSpPr>
        <xdr:cNvPr id="410" name="直線接點 409"/>
        <xdr:cNvCxnSpPr/>
      </xdr:nvCxnSpPr>
      <xdr:spPr>
        <a:xfrm>
          <a:off x="11060906" y="221575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54</xdr:row>
      <xdr:rowOff>11906</xdr:rowOff>
    </xdr:from>
    <xdr:to>
      <xdr:col>10</xdr:col>
      <xdr:colOff>773906</xdr:colOff>
      <xdr:row>55</xdr:row>
      <xdr:rowOff>0</xdr:rowOff>
    </xdr:to>
    <xdr:cxnSp macro="">
      <xdr:nvCxnSpPr>
        <xdr:cNvPr id="411" name="直線接點 410"/>
        <xdr:cNvCxnSpPr/>
      </xdr:nvCxnSpPr>
      <xdr:spPr>
        <a:xfrm>
          <a:off x="12620625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54</xdr:row>
      <xdr:rowOff>11906</xdr:rowOff>
    </xdr:from>
    <xdr:to>
      <xdr:col>16</xdr:col>
      <xdr:colOff>773906</xdr:colOff>
      <xdr:row>55</xdr:row>
      <xdr:rowOff>0</xdr:rowOff>
    </xdr:to>
    <xdr:cxnSp macro="">
      <xdr:nvCxnSpPr>
        <xdr:cNvPr id="412" name="直線接點 411"/>
        <xdr:cNvCxnSpPr/>
      </xdr:nvCxnSpPr>
      <xdr:spPr>
        <a:xfrm>
          <a:off x="18692812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54</xdr:row>
      <xdr:rowOff>23812</xdr:rowOff>
    </xdr:from>
    <xdr:to>
      <xdr:col>18</xdr:col>
      <xdr:colOff>11906</xdr:colOff>
      <xdr:row>55</xdr:row>
      <xdr:rowOff>11906</xdr:rowOff>
    </xdr:to>
    <xdr:cxnSp macro="">
      <xdr:nvCxnSpPr>
        <xdr:cNvPr id="413" name="直線接點 412"/>
        <xdr:cNvCxnSpPr/>
      </xdr:nvCxnSpPr>
      <xdr:spPr>
        <a:xfrm>
          <a:off x="19490531" y="22157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54</xdr:row>
      <xdr:rowOff>0</xdr:rowOff>
    </xdr:from>
    <xdr:to>
      <xdr:col>19</xdr:col>
      <xdr:colOff>0</xdr:colOff>
      <xdr:row>54</xdr:row>
      <xdr:rowOff>666750</xdr:rowOff>
    </xdr:to>
    <xdr:cxnSp macro="">
      <xdr:nvCxnSpPr>
        <xdr:cNvPr id="414" name="直線接點 413"/>
        <xdr:cNvCxnSpPr/>
      </xdr:nvCxnSpPr>
      <xdr:spPr>
        <a:xfrm>
          <a:off x="21074062" y="221337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54</xdr:row>
      <xdr:rowOff>11906</xdr:rowOff>
    </xdr:from>
    <xdr:to>
      <xdr:col>12</xdr:col>
      <xdr:colOff>773906</xdr:colOff>
      <xdr:row>55</xdr:row>
      <xdr:rowOff>0</xdr:rowOff>
    </xdr:to>
    <xdr:cxnSp macro="">
      <xdr:nvCxnSpPr>
        <xdr:cNvPr id="415" name="直線接點 414"/>
        <xdr:cNvCxnSpPr/>
      </xdr:nvCxnSpPr>
      <xdr:spPr>
        <a:xfrm>
          <a:off x="14478000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54</xdr:row>
      <xdr:rowOff>23812</xdr:rowOff>
    </xdr:from>
    <xdr:to>
      <xdr:col>14</xdr:col>
      <xdr:colOff>11906</xdr:colOff>
      <xdr:row>55</xdr:row>
      <xdr:rowOff>11906</xdr:rowOff>
    </xdr:to>
    <xdr:cxnSp macro="">
      <xdr:nvCxnSpPr>
        <xdr:cNvPr id="416" name="直線接點 415"/>
        <xdr:cNvCxnSpPr/>
      </xdr:nvCxnSpPr>
      <xdr:spPr>
        <a:xfrm>
          <a:off x="15275719" y="221575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54</xdr:row>
      <xdr:rowOff>11906</xdr:rowOff>
    </xdr:from>
    <xdr:to>
      <xdr:col>14</xdr:col>
      <xdr:colOff>773906</xdr:colOff>
      <xdr:row>55</xdr:row>
      <xdr:rowOff>0</xdr:rowOff>
    </xdr:to>
    <xdr:cxnSp macro="">
      <xdr:nvCxnSpPr>
        <xdr:cNvPr id="417" name="直線接點 416"/>
        <xdr:cNvCxnSpPr/>
      </xdr:nvCxnSpPr>
      <xdr:spPr>
        <a:xfrm>
          <a:off x="16835437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54</xdr:row>
      <xdr:rowOff>11906</xdr:rowOff>
    </xdr:from>
    <xdr:to>
      <xdr:col>20</xdr:col>
      <xdr:colOff>0</xdr:colOff>
      <xdr:row>54</xdr:row>
      <xdr:rowOff>678656</xdr:rowOff>
    </xdr:to>
    <xdr:cxnSp macro="">
      <xdr:nvCxnSpPr>
        <xdr:cNvPr id="418" name="直線接點 417"/>
        <xdr:cNvCxnSpPr/>
      </xdr:nvCxnSpPr>
      <xdr:spPr>
        <a:xfrm>
          <a:off x="21847969" y="221456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54</xdr:row>
      <xdr:rowOff>11906</xdr:rowOff>
    </xdr:from>
    <xdr:to>
      <xdr:col>16</xdr:col>
      <xdr:colOff>0</xdr:colOff>
      <xdr:row>54</xdr:row>
      <xdr:rowOff>678656</xdr:rowOff>
    </xdr:to>
    <xdr:cxnSp macro="">
      <xdr:nvCxnSpPr>
        <xdr:cNvPr id="419" name="直線接點 418"/>
        <xdr:cNvCxnSpPr/>
      </xdr:nvCxnSpPr>
      <xdr:spPr>
        <a:xfrm>
          <a:off x="17621250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54</xdr:row>
      <xdr:rowOff>11906</xdr:rowOff>
    </xdr:from>
    <xdr:to>
      <xdr:col>12</xdr:col>
      <xdr:colOff>0</xdr:colOff>
      <xdr:row>54</xdr:row>
      <xdr:rowOff>678656</xdr:rowOff>
    </xdr:to>
    <xdr:cxnSp macro="">
      <xdr:nvCxnSpPr>
        <xdr:cNvPr id="420" name="直線接點 419"/>
        <xdr:cNvCxnSpPr/>
      </xdr:nvCxnSpPr>
      <xdr:spPr>
        <a:xfrm>
          <a:off x="13406438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54</xdr:row>
      <xdr:rowOff>23812</xdr:rowOff>
    </xdr:from>
    <xdr:to>
      <xdr:col>18</xdr:col>
      <xdr:colOff>11906</xdr:colOff>
      <xdr:row>55</xdr:row>
      <xdr:rowOff>11906</xdr:rowOff>
    </xdr:to>
    <xdr:cxnSp macro="">
      <xdr:nvCxnSpPr>
        <xdr:cNvPr id="421" name="直線接點 420"/>
        <xdr:cNvCxnSpPr/>
      </xdr:nvCxnSpPr>
      <xdr:spPr>
        <a:xfrm>
          <a:off x="19490531" y="22157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56</xdr:row>
      <xdr:rowOff>11906</xdr:rowOff>
    </xdr:from>
    <xdr:to>
      <xdr:col>9</xdr:col>
      <xdr:colOff>11906</xdr:colOff>
      <xdr:row>56</xdr:row>
      <xdr:rowOff>666750</xdr:rowOff>
    </xdr:to>
    <xdr:cxnSp macro="">
      <xdr:nvCxnSpPr>
        <xdr:cNvPr id="435" name="直線接點 434"/>
        <xdr:cNvCxnSpPr/>
      </xdr:nvCxnSpPr>
      <xdr:spPr>
        <a:xfrm>
          <a:off x="10263187" y="22145625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56</xdr:row>
      <xdr:rowOff>23812</xdr:rowOff>
    </xdr:from>
    <xdr:to>
      <xdr:col>10</xdr:col>
      <xdr:colOff>11906</xdr:colOff>
      <xdr:row>57</xdr:row>
      <xdr:rowOff>11906</xdr:rowOff>
    </xdr:to>
    <xdr:cxnSp macro="">
      <xdr:nvCxnSpPr>
        <xdr:cNvPr id="436" name="直線接點 435"/>
        <xdr:cNvCxnSpPr/>
      </xdr:nvCxnSpPr>
      <xdr:spPr>
        <a:xfrm>
          <a:off x="11060906" y="221575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56</xdr:row>
      <xdr:rowOff>11906</xdr:rowOff>
    </xdr:from>
    <xdr:to>
      <xdr:col>10</xdr:col>
      <xdr:colOff>773906</xdr:colOff>
      <xdr:row>57</xdr:row>
      <xdr:rowOff>0</xdr:rowOff>
    </xdr:to>
    <xdr:cxnSp macro="">
      <xdr:nvCxnSpPr>
        <xdr:cNvPr id="437" name="直線接點 436"/>
        <xdr:cNvCxnSpPr/>
      </xdr:nvCxnSpPr>
      <xdr:spPr>
        <a:xfrm>
          <a:off x="12620625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56</xdr:row>
      <xdr:rowOff>11906</xdr:rowOff>
    </xdr:from>
    <xdr:to>
      <xdr:col>16</xdr:col>
      <xdr:colOff>773906</xdr:colOff>
      <xdr:row>57</xdr:row>
      <xdr:rowOff>0</xdr:rowOff>
    </xdr:to>
    <xdr:cxnSp macro="">
      <xdr:nvCxnSpPr>
        <xdr:cNvPr id="438" name="直線接點 437"/>
        <xdr:cNvCxnSpPr/>
      </xdr:nvCxnSpPr>
      <xdr:spPr>
        <a:xfrm>
          <a:off x="18692812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56</xdr:row>
      <xdr:rowOff>23812</xdr:rowOff>
    </xdr:from>
    <xdr:to>
      <xdr:col>18</xdr:col>
      <xdr:colOff>11906</xdr:colOff>
      <xdr:row>57</xdr:row>
      <xdr:rowOff>11906</xdr:rowOff>
    </xdr:to>
    <xdr:cxnSp macro="">
      <xdr:nvCxnSpPr>
        <xdr:cNvPr id="439" name="直線接點 438"/>
        <xdr:cNvCxnSpPr/>
      </xdr:nvCxnSpPr>
      <xdr:spPr>
        <a:xfrm>
          <a:off x="19490531" y="22157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56</xdr:row>
      <xdr:rowOff>0</xdr:rowOff>
    </xdr:from>
    <xdr:to>
      <xdr:col>19</xdr:col>
      <xdr:colOff>0</xdr:colOff>
      <xdr:row>56</xdr:row>
      <xdr:rowOff>666750</xdr:rowOff>
    </xdr:to>
    <xdr:cxnSp macro="">
      <xdr:nvCxnSpPr>
        <xdr:cNvPr id="440" name="直線接點 439"/>
        <xdr:cNvCxnSpPr/>
      </xdr:nvCxnSpPr>
      <xdr:spPr>
        <a:xfrm>
          <a:off x="21074062" y="221337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56</xdr:row>
      <xdr:rowOff>11906</xdr:rowOff>
    </xdr:from>
    <xdr:to>
      <xdr:col>12</xdr:col>
      <xdr:colOff>773906</xdr:colOff>
      <xdr:row>57</xdr:row>
      <xdr:rowOff>0</xdr:rowOff>
    </xdr:to>
    <xdr:cxnSp macro="">
      <xdr:nvCxnSpPr>
        <xdr:cNvPr id="441" name="直線接點 440"/>
        <xdr:cNvCxnSpPr/>
      </xdr:nvCxnSpPr>
      <xdr:spPr>
        <a:xfrm>
          <a:off x="14478000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56</xdr:row>
      <xdr:rowOff>23812</xdr:rowOff>
    </xdr:from>
    <xdr:to>
      <xdr:col>14</xdr:col>
      <xdr:colOff>11906</xdr:colOff>
      <xdr:row>57</xdr:row>
      <xdr:rowOff>11906</xdr:rowOff>
    </xdr:to>
    <xdr:cxnSp macro="">
      <xdr:nvCxnSpPr>
        <xdr:cNvPr id="442" name="直線接點 441"/>
        <xdr:cNvCxnSpPr/>
      </xdr:nvCxnSpPr>
      <xdr:spPr>
        <a:xfrm>
          <a:off x="15275719" y="221575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56</xdr:row>
      <xdr:rowOff>11906</xdr:rowOff>
    </xdr:from>
    <xdr:to>
      <xdr:col>14</xdr:col>
      <xdr:colOff>773906</xdr:colOff>
      <xdr:row>57</xdr:row>
      <xdr:rowOff>0</xdr:rowOff>
    </xdr:to>
    <xdr:cxnSp macro="">
      <xdr:nvCxnSpPr>
        <xdr:cNvPr id="443" name="直線接點 442"/>
        <xdr:cNvCxnSpPr/>
      </xdr:nvCxnSpPr>
      <xdr:spPr>
        <a:xfrm>
          <a:off x="16835437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56</xdr:row>
      <xdr:rowOff>11906</xdr:rowOff>
    </xdr:from>
    <xdr:to>
      <xdr:col>20</xdr:col>
      <xdr:colOff>0</xdr:colOff>
      <xdr:row>56</xdr:row>
      <xdr:rowOff>678656</xdr:rowOff>
    </xdr:to>
    <xdr:cxnSp macro="">
      <xdr:nvCxnSpPr>
        <xdr:cNvPr id="444" name="直線接點 443"/>
        <xdr:cNvCxnSpPr/>
      </xdr:nvCxnSpPr>
      <xdr:spPr>
        <a:xfrm>
          <a:off x="21847969" y="221456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56</xdr:row>
      <xdr:rowOff>11906</xdr:rowOff>
    </xdr:from>
    <xdr:to>
      <xdr:col>16</xdr:col>
      <xdr:colOff>0</xdr:colOff>
      <xdr:row>56</xdr:row>
      <xdr:rowOff>678656</xdr:rowOff>
    </xdr:to>
    <xdr:cxnSp macro="">
      <xdr:nvCxnSpPr>
        <xdr:cNvPr id="445" name="直線接點 444"/>
        <xdr:cNvCxnSpPr/>
      </xdr:nvCxnSpPr>
      <xdr:spPr>
        <a:xfrm>
          <a:off x="17621250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56</xdr:row>
      <xdr:rowOff>11906</xdr:rowOff>
    </xdr:from>
    <xdr:to>
      <xdr:col>12</xdr:col>
      <xdr:colOff>0</xdr:colOff>
      <xdr:row>56</xdr:row>
      <xdr:rowOff>678656</xdr:rowOff>
    </xdr:to>
    <xdr:cxnSp macro="">
      <xdr:nvCxnSpPr>
        <xdr:cNvPr id="446" name="直線接點 445"/>
        <xdr:cNvCxnSpPr/>
      </xdr:nvCxnSpPr>
      <xdr:spPr>
        <a:xfrm>
          <a:off x="13406438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56</xdr:row>
      <xdr:rowOff>23812</xdr:rowOff>
    </xdr:from>
    <xdr:to>
      <xdr:col>18</xdr:col>
      <xdr:colOff>11906</xdr:colOff>
      <xdr:row>57</xdr:row>
      <xdr:rowOff>11906</xdr:rowOff>
    </xdr:to>
    <xdr:cxnSp macro="">
      <xdr:nvCxnSpPr>
        <xdr:cNvPr id="447" name="直線接點 446"/>
        <xdr:cNvCxnSpPr/>
      </xdr:nvCxnSpPr>
      <xdr:spPr>
        <a:xfrm>
          <a:off x="19490531" y="22157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57</xdr:row>
      <xdr:rowOff>11906</xdr:rowOff>
    </xdr:from>
    <xdr:to>
      <xdr:col>9</xdr:col>
      <xdr:colOff>11906</xdr:colOff>
      <xdr:row>57</xdr:row>
      <xdr:rowOff>666750</xdr:rowOff>
    </xdr:to>
    <xdr:cxnSp macro="">
      <xdr:nvCxnSpPr>
        <xdr:cNvPr id="461" name="直線接點 460"/>
        <xdr:cNvCxnSpPr/>
      </xdr:nvCxnSpPr>
      <xdr:spPr>
        <a:xfrm>
          <a:off x="10263187" y="38278594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57</xdr:row>
      <xdr:rowOff>23812</xdr:rowOff>
    </xdr:from>
    <xdr:to>
      <xdr:col>10</xdr:col>
      <xdr:colOff>11906</xdr:colOff>
      <xdr:row>58</xdr:row>
      <xdr:rowOff>11906</xdr:rowOff>
    </xdr:to>
    <xdr:cxnSp macro="">
      <xdr:nvCxnSpPr>
        <xdr:cNvPr id="462" name="直線接點 461"/>
        <xdr:cNvCxnSpPr/>
      </xdr:nvCxnSpPr>
      <xdr:spPr>
        <a:xfrm>
          <a:off x="11060906" y="221575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57</xdr:row>
      <xdr:rowOff>11906</xdr:rowOff>
    </xdr:from>
    <xdr:to>
      <xdr:col>10</xdr:col>
      <xdr:colOff>773906</xdr:colOff>
      <xdr:row>58</xdr:row>
      <xdr:rowOff>0</xdr:rowOff>
    </xdr:to>
    <xdr:cxnSp macro="">
      <xdr:nvCxnSpPr>
        <xdr:cNvPr id="463" name="直線接點 462"/>
        <xdr:cNvCxnSpPr/>
      </xdr:nvCxnSpPr>
      <xdr:spPr>
        <a:xfrm>
          <a:off x="12620625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57</xdr:row>
      <xdr:rowOff>11906</xdr:rowOff>
    </xdr:from>
    <xdr:to>
      <xdr:col>16</xdr:col>
      <xdr:colOff>773906</xdr:colOff>
      <xdr:row>58</xdr:row>
      <xdr:rowOff>0</xdr:rowOff>
    </xdr:to>
    <xdr:cxnSp macro="">
      <xdr:nvCxnSpPr>
        <xdr:cNvPr id="464" name="直線接點 463"/>
        <xdr:cNvCxnSpPr/>
      </xdr:nvCxnSpPr>
      <xdr:spPr>
        <a:xfrm>
          <a:off x="18692812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57</xdr:row>
      <xdr:rowOff>23812</xdr:rowOff>
    </xdr:from>
    <xdr:to>
      <xdr:col>18</xdr:col>
      <xdr:colOff>11906</xdr:colOff>
      <xdr:row>58</xdr:row>
      <xdr:rowOff>11906</xdr:rowOff>
    </xdr:to>
    <xdr:cxnSp macro="">
      <xdr:nvCxnSpPr>
        <xdr:cNvPr id="465" name="直線接點 464"/>
        <xdr:cNvCxnSpPr/>
      </xdr:nvCxnSpPr>
      <xdr:spPr>
        <a:xfrm>
          <a:off x="19490531" y="22157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57</xdr:row>
      <xdr:rowOff>0</xdr:rowOff>
    </xdr:from>
    <xdr:to>
      <xdr:col>19</xdr:col>
      <xdr:colOff>0</xdr:colOff>
      <xdr:row>57</xdr:row>
      <xdr:rowOff>666750</xdr:rowOff>
    </xdr:to>
    <xdr:cxnSp macro="">
      <xdr:nvCxnSpPr>
        <xdr:cNvPr id="466" name="直線接點 465"/>
        <xdr:cNvCxnSpPr/>
      </xdr:nvCxnSpPr>
      <xdr:spPr>
        <a:xfrm>
          <a:off x="21074062" y="221337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57</xdr:row>
      <xdr:rowOff>11906</xdr:rowOff>
    </xdr:from>
    <xdr:to>
      <xdr:col>12</xdr:col>
      <xdr:colOff>773906</xdr:colOff>
      <xdr:row>58</xdr:row>
      <xdr:rowOff>0</xdr:rowOff>
    </xdr:to>
    <xdr:cxnSp macro="">
      <xdr:nvCxnSpPr>
        <xdr:cNvPr id="467" name="直線接點 466"/>
        <xdr:cNvCxnSpPr/>
      </xdr:nvCxnSpPr>
      <xdr:spPr>
        <a:xfrm>
          <a:off x="14478000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57</xdr:row>
      <xdr:rowOff>23812</xdr:rowOff>
    </xdr:from>
    <xdr:to>
      <xdr:col>14</xdr:col>
      <xdr:colOff>11906</xdr:colOff>
      <xdr:row>58</xdr:row>
      <xdr:rowOff>11906</xdr:rowOff>
    </xdr:to>
    <xdr:cxnSp macro="">
      <xdr:nvCxnSpPr>
        <xdr:cNvPr id="468" name="直線接點 467"/>
        <xdr:cNvCxnSpPr/>
      </xdr:nvCxnSpPr>
      <xdr:spPr>
        <a:xfrm>
          <a:off x="15275719" y="221575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57</xdr:row>
      <xdr:rowOff>11906</xdr:rowOff>
    </xdr:from>
    <xdr:to>
      <xdr:col>14</xdr:col>
      <xdr:colOff>773906</xdr:colOff>
      <xdr:row>58</xdr:row>
      <xdr:rowOff>0</xdr:rowOff>
    </xdr:to>
    <xdr:cxnSp macro="">
      <xdr:nvCxnSpPr>
        <xdr:cNvPr id="469" name="直線接點 468"/>
        <xdr:cNvCxnSpPr/>
      </xdr:nvCxnSpPr>
      <xdr:spPr>
        <a:xfrm>
          <a:off x="16835437" y="22145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57</xdr:row>
      <xdr:rowOff>11906</xdr:rowOff>
    </xdr:from>
    <xdr:to>
      <xdr:col>20</xdr:col>
      <xdr:colOff>0</xdr:colOff>
      <xdr:row>57</xdr:row>
      <xdr:rowOff>678656</xdr:rowOff>
    </xdr:to>
    <xdr:cxnSp macro="">
      <xdr:nvCxnSpPr>
        <xdr:cNvPr id="470" name="直線接點 469"/>
        <xdr:cNvCxnSpPr/>
      </xdr:nvCxnSpPr>
      <xdr:spPr>
        <a:xfrm>
          <a:off x="21847969" y="221456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57</xdr:row>
      <xdr:rowOff>11906</xdr:rowOff>
    </xdr:from>
    <xdr:to>
      <xdr:col>16</xdr:col>
      <xdr:colOff>0</xdr:colOff>
      <xdr:row>57</xdr:row>
      <xdr:rowOff>678656</xdr:rowOff>
    </xdr:to>
    <xdr:cxnSp macro="">
      <xdr:nvCxnSpPr>
        <xdr:cNvPr id="471" name="直線接點 470"/>
        <xdr:cNvCxnSpPr/>
      </xdr:nvCxnSpPr>
      <xdr:spPr>
        <a:xfrm>
          <a:off x="17621250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57</xdr:row>
      <xdr:rowOff>11906</xdr:rowOff>
    </xdr:from>
    <xdr:to>
      <xdr:col>12</xdr:col>
      <xdr:colOff>0</xdr:colOff>
      <xdr:row>57</xdr:row>
      <xdr:rowOff>678656</xdr:rowOff>
    </xdr:to>
    <xdr:cxnSp macro="">
      <xdr:nvCxnSpPr>
        <xdr:cNvPr id="472" name="直線接點 471"/>
        <xdr:cNvCxnSpPr/>
      </xdr:nvCxnSpPr>
      <xdr:spPr>
        <a:xfrm>
          <a:off x="13406438" y="22145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57</xdr:row>
      <xdr:rowOff>23812</xdr:rowOff>
    </xdr:from>
    <xdr:to>
      <xdr:col>18</xdr:col>
      <xdr:colOff>11906</xdr:colOff>
      <xdr:row>58</xdr:row>
      <xdr:rowOff>11906</xdr:rowOff>
    </xdr:to>
    <xdr:cxnSp macro="">
      <xdr:nvCxnSpPr>
        <xdr:cNvPr id="473" name="直線接點 472"/>
        <xdr:cNvCxnSpPr/>
      </xdr:nvCxnSpPr>
      <xdr:spPr>
        <a:xfrm>
          <a:off x="19490531" y="22157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55</xdr:row>
      <xdr:rowOff>11906</xdr:rowOff>
    </xdr:from>
    <xdr:to>
      <xdr:col>16</xdr:col>
      <xdr:colOff>773906</xdr:colOff>
      <xdr:row>56</xdr:row>
      <xdr:rowOff>0</xdr:rowOff>
    </xdr:to>
    <xdr:cxnSp macro="">
      <xdr:nvCxnSpPr>
        <xdr:cNvPr id="483" name="直線接點 482"/>
        <xdr:cNvCxnSpPr/>
      </xdr:nvCxnSpPr>
      <xdr:spPr>
        <a:xfrm>
          <a:off x="18692812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55</xdr:row>
      <xdr:rowOff>23812</xdr:rowOff>
    </xdr:from>
    <xdr:to>
      <xdr:col>18</xdr:col>
      <xdr:colOff>11906</xdr:colOff>
      <xdr:row>56</xdr:row>
      <xdr:rowOff>11906</xdr:rowOff>
    </xdr:to>
    <xdr:cxnSp macro="">
      <xdr:nvCxnSpPr>
        <xdr:cNvPr id="484" name="直線接點 483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55</xdr:row>
      <xdr:rowOff>0</xdr:rowOff>
    </xdr:from>
    <xdr:to>
      <xdr:col>19</xdr:col>
      <xdr:colOff>0</xdr:colOff>
      <xdr:row>55</xdr:row>
      <xdr:rowOff>666750</xdr:rowOff>
    </xdr:to>
    <xdr:cxnSp macro="">
      <xdr:nvCxnSpPr>
        <xdr:cNvPr id="485" name="直線接點 484"/>
        <xdr:cNvCxnSpPr/>
      </xdr:nvCxnSpPr>
      <xdr:spPr>
        <a:xfrm>
          <a:off x="21074062" y="36195000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55</xdr:row>
      <xdr:rowOff>11906</xdr:rowOff>
    </xdr:from>
    <xdr:to>
      <xdr:col>12</xdr:col>
      <xdr:colOff>773906</xdr:colOff>
      <xdr:row>56</xdr:row>
      <xdr:rowOff>0</xdr:rowOff>
    </xdr:to>
    <xdr:cxnSp macro="">
      <xdr:nvCxnSpPr>
        <xdr:cNvPr id="486" name="直線接點 485"/>
        <xdr:cNvCxnSpPr/>
      </xdr:nvCxnSpPr>
      <xdr:spPr>
        <a:xfrm>
          <a:off x="14478000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55</xdr:row>
      <xdr:rowOff>23812</xdr:rowOff>
    </xdr:from>
    <xdr:to>
      <xdr:col>14</xdr:col>
      <xdr:colOff>11906</xdr:colOff>
      <xdr:row>56</xdr:row>
      <xdr:rowOff>11906</xdr:rowOff>
    </xdr:to>
    <xdr:cxnSp macro="">
      <xdr:nvCxnSpPr>
        <xdr:cNvPr id="487" name="直線接點 486"/>
        <xdr:cNvCxnSpPr/>
      </xdr:nvCxnSpPr>
      <xdr:spPr>
        <a:xfrm>
          <a:off x="15275719" y="36218812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55</xdr:row>
      <xdr:rowOff>11906</xdr:rowOff>
    </xdr:from>
    <xdr:to>
      <xdr:col>14</xdr:col>
      <xdr:colOff>773906</xdr:colOff>
      <xdr:row>56</xdr:row>
      <xdr:rowOff>0</xdr:rowOff>
    </xdr:to>
    <xdr:cxnSp macro="">
      <xdr:nvCxnSpPr>
        <xdr:cNvPr id="488" name="直線接點 487"/>
        <xdr:cNvCxnSpPr/>
      </xdr:nvCxnSpPr>
      <xdr:spPr>
        <a:xfrm>
          <a:off x="16835437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55</xdr:row>
      <xdr:rowOff>11906</xdr:rowOff>
    </xdr:from>
    <xdr:to>
      <xdr:col>20</xdr:col>
      <xdr:colOff>0</xdr:colOff>
      <xdr:row>55</xdr:row>
      <xdr:rowOff>678656</xdr:rowOff>
    </xdr:to>
    <xdr:cxnSp macro="">
      <xdr:nvCxnSpPr>
        <xdr:cNvPr id="489" name="直線接點 488"/>
        <xdr:cNvCxnSpPr/>
      </xdr:nvCxnSpPr>
      <xdr:spPr>
        <a:xfrm>
          <a:off x="21847969" y="36206906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55</xdr:row>
      <xdr:rowOff>11906</xdr:rowOff>
    </xdr:from>
    <xdr:to>
      <xdr:col>16</xdr:col>
      <xdr:colOff>0</xdr:colOff>
      <xdr:row>55</xdr:row>
      <xdr:rowOff>678656</xdr:rowOff>
    </xdr:to>
    <xdr:cxnSp macro="">
      <xdr:nvCxnSpPr>
        <xdr:cNvPr id="490" name="直線接點 489"/>
        <xdr:cNvCxnSpPr/>
      </xdr:nvCxnSpPr>
      <xdr:spPr>
        <a:xfrm>
          <a:off x="17621250" y="36206906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55</xdr:row>
      <xdr:rowOff>23812</xdr:rowOff>
    </xdr:from>
    <xdr:to>
      <xdr:col>18</xdr:col>
      <xdr:colOff>11906</xdr:colOff>
      <xdr:row>56</xdr:row>
      <xdr:rowOff>11906</xdr:rowOff>
    </xdr:to>
    <xdr:cxnSp macro="">
      <xdr:nvCxnSpPr>
        <xdr:cNvPr id="491" name="直線接點 490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47</xdr:row>
      <xdr:rowOff>11906</xdr:rowOff>
    </xdr:from>
    <xdr:to>
      <xdr:col>16</xdr:col>
      <xdr:colOff>773906</xdr:colOff>
      <xdr:row>48</xdr:row>
      <xdr:rowOff>0</xdr:rowOff>
    </xdr:to>
    <xdr:cxnSp macro="">
      <xdr:nvCxnSpPr>
        <xdr:cNvPr id="501" name="直線接點 500"/>
        <xdr:cNvCxnSpPr/>
      </xdr:nvCxnSpPr>
      <xdr:spPr>
        <a:xfrm>
          <a:off x="18692812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47</xdr:row>
      <xdr:rowOff>23812</xdr:rowOff>
    </xdr:from>
    <xdr:to>
      <xdr:col>18</xdr:col>
      <xdr:colOff>11906</xdr:colOff>
      <xdr:row>48</xdr:row>
      <xdr:rowOff>11906</xdr:rowOff>
    </xdr:to>
    <xdr:cxnSp macro="">
      <xdr:nvCxnSpPr>
        <xdr:cNvPr id="502" name="直線接點 501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47</xdr:row>
      <xdr:rowOff>0</xdr:rowOff>
    </xdr:from>
    <xdr:to>
      <xdr:col>19</xdr:col>
      <xdr:colOff>0</xdr:colOff>
      <xdr:row>47</xdr:row>
      <xdr:rowOff>666750</xdr:rowOff>
    </xdr:to>
    <xdr:cxnSp macro="">
      <xdr:nvCxnSpPr>
        <xdr:cNvPr id="503" name="直線接點 502"/>
        <xdr:cNvCxnSpPr/>
      </xdr:nvCxnSpPr>
      <xdr:spPr>
        <a:xfrm>
          <a:off x="21074062" y="36195000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47</xdr:row>
      <xdr:rowOff>11906</xdr:rowOff>
    </xdr:from>
    <xdr:to>
      <xdr:col>12</xdr:col>
      <xdr:colOff>773906</xdr:colOff>
      <xdr:row>48</xdr:row>
      <xdr:rowOff>0</xdr:rowOff>
    </xdr:to>
    <xdr:cxnSp macro="">
      <xdr:nvCxnSpPr>
        <xdr:cNvPr id="504" name="直線接點 503"/>
        <xdr:cNvCxnSpPr/>
      </xdr:nvCxnSpPr>
      <xdr:spPr>
        <a:xfrm>
          <a:off x="14478000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47</xdr:row>
      <xdr:rowOff>23812</xdr:rowOff>
    </xdr:from>
    <xdr:to>
      <xdr:col>14</xdr:col>
      <xdr:colOff>11906</xdr:colOff>
      <xdr:row>48</xdr:row>
      <xdr:rowOff>11906</xdr:rowOff>
    </xdr:to>
    <xdr:cxnSp macro="">
      <xdr:nvCxnSpPr>
        <xdr:cNvPr id="505" name="直線接點 504"/>
        <xdr:cNvCxnSpPr/>
      </xdr:nvCxnSpPr>
      <xdr:spPr>
        <a:xfrm>
          <a:off x="15275719" y="36218812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47</xdr:row>
      <xdr:rowOff>11906</xdr:rowOff>
    </xdr:from>
    <xdr:to>
      <xdr:col>14</xdr:col>
      <xdr:colOff>773906</xdr:colOff>
      <xdr:row>48</xdr:row>
      <xdr:rowOff>0</xdr:rowOff>
    </xdr:to>
    <xdr:cxnSp macro="">
      <xdr:nvCxnSpPr>
        <xdr:cNvPr id="506" name="直線接點 505"/>
        <xdr:cNvCxnSpPr/>
      </xdr:nvCxnSpPr>
      <xdr:spPr>
        <a:xfrm>
          <a:off x="16835437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0</xdr:colOff>
      <xdr:row>47</xdr:row>
      <xdr:rowOff>678656</xdr:rowOff>
    </xdr:to>
    <xdr:cxnSp macro="">
      <xdr:nvCxnSpPr>
        <xdr:cNvPr id="507" name="直線接點 506"/>
        <xdr:cNvCxnSpPr/>
      </xdr:nvCxnSpPr>
      <xdr:spPr>
        <a:xfrm>
          <a:off x="21847969" y="36206906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47</xdr:row>
      <xdr:rowOff>11906</xdr:rowOff>
    </xdr:from>
    <xdr:to>
      <xdr:col>16</xdr:col>
      <xdr:colOff>0</xdr:colOff>
      <xdr:row>47</xdr:row>
      <xdr:rowOff>678656</xdr:rowOff>
    </xdr:to>
    <xdr:cxnSp macro="">
      <xdr:nvCxnSpPr>
        <xdr:cNvPr id="508" name="直線接點 507"/>
        <xdr:cNvCxnSpPr/>
      </xdr:nvCxnSpPr>
      <xdr:spPr>
        <a:xfrm>
          <a:off x="17621250" y="36206906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47</xdr:row>
      <xdr:rowOff>23812</xdr:rowOff>
    </xdr:from>
    <xdr:to>
      <xdr:col>18</xdr:col>
      <xdr:colOff>11906</xdr:colOff>
      <xdr:row>48</xdr:row>
      <xdr:rowOff>11906</xdr:rowOff>
    </xdr:to>
    <xdr:cxnSp macro="">
      <xdr:nvCxnSpPr>
        <xdr:cNvPr id="509" name="直線接點 508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48</xdr:row>
      <xdr:rowOff>11906</xdr:rowOff>
    </xdr:from>
    <xdr:to>
      <xdr:col>16</xdr:col>
      <xdr:colOff>773906</xdr:colOff>
      <xdr:row>49</xdr:row>
      <xdr:rowOff>0</xdr:rowOff>
    </xdr:to>
    <xdr:cxnSp macro="">
      <xdr:nvCxnSpPr>
        <xdr:cNvPr id="519" name="直線接點 518"/>
        <xdr:cNvCxnSpPr/>
      </xdr:nvCxnSpPr>
      <xdr:spPr>
        <a:xfrm>
          <a:off x="18692812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48</xdr:row>
      <xdr:rowOff>23812</xdr:rowOff>
    </xdr:from>
    <xdr:to>
      <xdr:col>18</xdr:col>
      <xdr:colOff>11906</xdr:colOff>
      <xdr:row>49</xdr:row>
      <xdr:rowOff>11906</xdr:rowOff>
    </xdr:to>
    <xdr:cxnSp macro="">
      <xdr:nvCxnSpPr>
        <xdr:cNvPr id="520" name="直線接點 519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48</xdr:row>
      <xdr:rowOff>0</xdr:rowOff>
    </xdr:from>
    <xdr:to>
      <xdr:col>19</xdr:col>
      <xdr:colOff>0</xdr:colOff>
      <xdr:row>48</xdr:row>
      <xdr:rowOff>666750</xdr:rowOff>
    </xdr:to>
    <xdr:cxnSp macro="">
      <xdr:nvCxnSpPr>
        <xdr:cNvPr id="521" name="直線接點 520"/>
        <xdr:cNvCxnSpPr/>
      </xdr:nvCxnSpPr>
      <xdr:spPr>
        <a:xfrm>
          <a:off x="21074062" y="36195000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48</xdr:row>
      <xdr:rowOff>11906</xdr:rowOff>
    </xdr:from>
    <xdr:to>
      <xdr:col>12</xdr:col>
      <xdr:colOff>773906</xdr:colOff>
      <xdr:row>49</xdr:row>
      <xdr:rowOff>0</xdr:rowOff>
    </xdr:to>
    <xdr:cxnSp macro="">
      <xdr:nvCxnSpPr>
        <xdr:cNvPr id="522" name="直線接點 521"/>
        <xdr:cNvCxnSpPr/>
      </xdr:nvCxnSpPr>
      <xdr:spPr>
        <a:xfrm>
          <a:off x="14478000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48</xdr:row>
      <xdr:rowOff>23812</xdr:rowOff>
    </xdr:from>
    <xdr:to>
      <xdr:col>14</xdr:col>
      <xdr:colOff>11906</xdr:colOff>
      <xdr:row>49</xdr:row>
      <xdr:rowOff>11906</xdr:rowOff>
    </xdr:to>
    <xdr:cxnSp macro="">
      <xdr:nvCxnSpPr>
        <xdr:cNvPr id="523" name="直線接點 522"/>
        <xdr:cNvCxnSpPr/>
      </xdr:nvCxnSpPr>
      <xdr:spPr>
        <a:xfrm>
          <a:off x="15275719" y="36218812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48</xdr:row>
      <xdr:rowOff>11906</xdr:rowOff>
    </xdr:from>
    <xdr:to>
      <xdr:col>14</xdr:col>
      <xdr:colOff>773906</xdr:colOff>
      <xdr:row>49</xdr:row>
      <xdr:rowOff>0</xdr:rowOff>
    </xdr:to>
    <xdr:cxnSp macro="">
      <xdr:nvCxnSpPr>
        <xdr:cNvPr id="524" name="直線接點 523"/>
        <xdr:cNvCxnSpPr/>
      </xdr:nvCxnSpPr>
      <xdr:spPr>
        <a:xfrm>
          <a:off x="16835437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48</xdr:row>
      <xdr:rowOff>11906</xdr:rowOff>
    </xdr:from>
    <xdr:to>
      <xdr:col>20</xdr:col>
      <xdr:colOff>0</xdr:colOff>
      <xdr:row>48</xdr:row>
      <xdr:rowOff>678656</xdr:rowOff>
    </xdr:to>
    <xdr:cxnSp macro="">
      <xdr:nvCxnSpPr>
        <xdr:cNvPr id="525" name="直線接點 524"/>
        <xdr:cNvCxnSpPr/>
      </xdr:nvCxnSpPr>
      <xdr:spPr>
        <a:xfrm>
          <a:off x="21847969" y="36206906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48</xdr:row>
      <xdr:rowOff>11906</xdr:rowOff>
    </xdr:from>
    <xdr:to>
      <xdr:col>16</xdr:col>
      <xdr:colOff>0</xdr:colOff>
      <xdr:row>48</xdr:row>
      <xdr:rowOff>678656</xdr:rowOff>
    </xdr:to>
    <xdr:cxnSp macro="">
      <xdr:nvCxnSpPr>
        <xdr:cNvPr id="526" name="直線接點 525"/>
        <xdr:cNvCxnSpPr/>
      </xdr:nvCxnSpPr>
      <xdr:spPr>
        <a:xfrm>
          <a:off x="17621250" y="36206906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48</xdr:row>
      <xdr:rowOff>23812</xdr:rowOff>
    </xdr:from>
    <xdr:to>
      <xdr:col>18</xdr:col>
      <xdr:colOff>11906</xdr:colOff>
      <xdr:row>49</xdr:row>
      <xdr:rowOff>11906</xdr:rowOff>
    </xdr:to>
    <xdr:cxnSp macro="">
      <xdr:nvCxnSpPr>
        <xdr:cNvPr id="527" name="直線接點 526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49</xdr:row>
      <xdr:rowOff>11906</xdr:rowOff>
    </xdr:from>
    <xdr:to>
      <xdr:col>16</xdr:col>
      <xdr:colOff>773906</xdr:colOff>
      <xdr:row>50</xdr:row>
      <xdr:rowOff>0</xdr:rowOff>
    </xdr:to>
    <xdr:cxnSp macro="">
      <xdr:nvCxnSpPr>
        <xdr:cNvPr id="537" name="直線接點 536"/>
        <xdr:cNvCxnSpPr/>
      </xdr:nvCxnSpPr>
      <xdr:spPr>
        <a:xfrm>
          <a:off x="18692812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49</xdr:row>
      <xdr:rowOff>23812</xdr:rowOff>
    </xdr:from>
    <xdr:to>
      <xdr:col>18</xdr:col>
      <xdr:colOff>11906</xdr:colOff>
      <xdr:row>50</xdr:row>
      <xdr:rowOff>11906</xdr:rowOff>
    </xdr:to>
    <xdr:cxnSp macro="">
      <xdr:nvCxnSpPr>
        <xdr:cNvPr id="538" name="直線接點 537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49</xdr:row>
      <xdr:rowOff>0</xdr:rowOff>
    </xdr:from>
    <xdr:to>
      <xdr:col>19</xdr:col>
      <xdr:colOff>0</xdr:colOff>
      <xdr:row>49</xdr:row>
      <xdr:rowOff>666750</xdr:rowOff>
    </xdr:to>
    <xdr:cxnSp macro="">
      <xdr:nvCxnSpPr>
        <xdr:cNvPr id="539" name="直線接點 538"/>
        <xdr:cNvCxnSpPr/>
      </xdr:nvCxnSpPr>
      <xdr:spPr>
        <a:xfrm>
          <a:off x="21074062" y="36195000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49</xdr:row>
      <xdr:rowOff>11906</xdr:rowOff>
    </xdr:from>
    <xdr:to>
      <xdr:col>12</xdr:col>
      <xdr:colOff>773906</xdr:colOff>
      <xdr:row>50</xdr:row>
      <xdr:rowOff>0</xdr:rowOff>
    </xdr:to>
    <xdr:cxnSp macro="">
      <xdr:nvCxnSpPr>
        <xdr:cNvPr id="540" name="直線接點 539"/>
        <xdr:cNvCxnSpPr/>
      </xdr:nvCxnSpPr>
      <xdr:spPr>
        <a:xfrm>
          <a:off x="14478000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49</xdr:row>
      <xdr:rowOff>23812</xdr:rowOff>
    </xdr:from>
    <xdr:to>
      <xdr:col>14</xdr:col>
      <xdr:colOff>11906</xdr:colOff>
      <xdr:row>50</xdr:row>
      <xdr:rowOff>11906</xdr:rowOff>
    </xdr:to>
    <xdr:cxnSp macro="">
      <xdr:nvCxnSpPr>
        <xdr:cNvPr id="541" name="直線接點 540"/>
        <xdr:cNvCxnSpPr/>
      </xdr:nvCxnSpPr>
      <xdr:spPr>
        <a:xfrm>
          <a:off x="15275719" y="36218812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49</xdr:row>
      <xdr:rowOff>11906</xdr:rowOff>
    </xdr:from>
    <xdr:to>
      <xdr:col>14</xdr:col>
      <xdr:colOff>773906</xdr:colOff>
      <xdr:row>50</xdr:row>
      <xdr:rowOff>0</xdr:rowOff>
    </xdr:to>
    <xdr:cxnSp macro="">
      <xdr:nvCxnSpPr>
        <xdr:cNvPr id="542" name="直線接點 541"/>
        <xdr:cNvCxnSpPr/>
      </xdr:nvCxnSpPr>
      <xdr:spPr>
        <a:xfrm>
          <a:off x="16835437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49</xdr:row>
      <xdr:rowOff>11906</xdr:rowOff>
    </xdr:from>
    <xdr:to>
      <xdr:col>20</xdr:col>
      <xdr:colOff>0</xdr:colOff>
      <xdr:row>49</xdr:row>
      <xdr:rowOff>678656</xdr:rowOff>
    </xdr:to>
    <xdr:cxnSp macro="">
      <xdr:nvCxnSpPr>
        <xdr:cNvPr id="543" name="直線接點 542"/>
        <xdr:cNvCxnSpPr/>
      </xdr:nvCxnSpPr>
      <xdr:spPr>
        <a:xfrm>
          <a:off x="21847969" y="36206906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49</xdr:row>
      <xdr:rowOff>11906</xdr:rowOff>
    </xdr:from>
    <xdr:to>
      <xdr:col>16</xdr:col>
      <xdr:colOff>0</xdr:colOff>
      <xdr:row>49</xdr:row>
      <xdr:rowOff>678656</xdr:rowOff>
    </xdr:to>
    <xdr:cxnSp macro="">
      <xdr:nvCxnSpPr>
        <xdr:cNvPr id="544" name="直線接點 543"/>
        <xdr:cNvCxnSpPr/>
      </xdr:nvCxnSpPr>
      <xdr:spPr>
        <a:xfrm>
          <a:off x="17621250" y="36206906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49</xdr:row>
      <xdr:rowOff>23812</xdr:rowOff>
    </xdr:from>
    <xdr:to>
      <xdr:col>18</xdr:col>
      <xdr:colOff>11906</xdr:colOff>
      <xdr:row>50</xdr:row>
      <xdr:rowOff>11906</xdr:rowOff>
    </xdr:to>
    <xdr:cxnSp macro="">
      <xdr:nvCxnSpPr>
        <xdr:cNvPr id="545" name="直線接點 544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43</xdr:row>
      <xdr:rowOff>11906</xdr:rowOff>
    </xdr:from>
    <xdr:to>
      <xdr:col>16</xdr:col>
      <xdr:colOff>773906</xdr:colOff>
      <xdr:row>44</xdr:row>
      <xdr:rowOff>0</xdr:rowOff>
    </xdr:to>
    <xdr:cxnSp macro="">
      <xdr:nvCxnSpPr>
        <xdr:cNvPr id="555" name="直線接點 554"/>
        <xdr:cNvCxnSpPr/>
      </xdr:nvCxnSpPr>
      <xdr:spPr>
        <a:xfrm>
          <a:off x="18692812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43</xdr:row>
      <xdr:rowOff>23812</xdr:rowOff>
    </xdr:from>
    <xdr:to>
      <xdr:col>18</xdr:col>
      <xdr:colOff>11906</xdr:colOff>
      <xdr:row>44</xdr:row>
      <xdr:rowOff>11906</xdr:rowOff>
    </xdr:to>
    <xdr:cxnSp macro="">
      <xdr:nvCxnSpPr>
        <xdr:cNvPr id="556" name="直線接點 555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43</xdr:row>
      <xdr:rowOff>0</xdr:rowOff>
    </xdr:from>
    <xdr:to>
      <xdr:col>19</xdr:col>
      <xdr:colOff>0</xdr:colOff>
      <xdr:row>43</xdr:row>
      <xdr:rowOff>666750</xdr:rowOff>
    </xdr:to>
    <xdr:cxnSp macro="">
      <xdr:nvCxnSpPr>
        <xdr:cNvPr id="557" name="直線接點 556"/>
        <xdr:cNvCxnSpPr/>
      </xdr:nvCxnSpPr>
      <xdr:spPr>
        <a:xfrm>
          <a:off x="21074062" y="36195000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43</xdr:row>
      <xdr:rowOff>11906</xdr:rowOff>
    </xdr:from>
    <xdr:to>
      <xdr:col>12</xdr:col>
      <xdr:colOff>773906</xdr:colOff>
      <xdr:row>44</xdr:row>
      <xdr:rowOff>0</xdr:rowOff>
    </xdr:to>
    <xdr:cxnSp macro="">
      <xdr:nvCxnSpPr>
        <xdr:cNvPr id="558" name="直線接點 557"/>
        <xdr:cNvCxnSpPr/>
      </xdr:nvCxnSpPr>
      <xdr:spPr>
        <a:xfrm>
          <a:off x="14478000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43</xdr:row>
      <xdr:rowOff>23812</xdr:rowOff>
    </xdr:from>
    <xdr:to>
      <xdr:col>14</xdr:col>
      <xdr:colOff>11906</xdr:colOff>
      <xdr:row>44</xdr:row>
      <xdr:rowOff>11906</xdr:rowOff>
    </xdr:to>
    <xdr:cxnSp macro="">
      <xdr:nvCxnSpPr>
        <xdr:cNvPr id="559" name="直線接點 558"/>
        <xdr:cNvCxnSpPr/>
      </xdr:nvCxnSpPr>
      <xdr:spPr>
        <a:xfrm>
          <a:off x="15275719" y="36218812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43</xdr:row>
      <xdr:rowOff>11906</xdr:rowOff>
    </xdr:from>
    <xdr:to>
      <xdr:col>14</xdr:col>
      <xdr:colOff>773906</xdr:colOff>
      <xdr:row>44</xdr:row>
      <xdr:rowOff>0</xdr:rowOff>
    </xdr:to>
    <xdr:cxnSp macro="">
      <xdr:nvCxnSpPr>
        <xdr:cNvPr id="560" name="直線接點 559"/>
        <xdr:cNvCxnSpPr/>
      </xdr:nvCxnSpPr>
      <xdr:spPr>
        <a:xfrm>
          <a:off x="16835437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43</xdr:row>
      <xdr:rowOff>11906</xdr:rowOff>
    </xdr:from>
    <xdr:to>
      <xdr:col>20</xdr:col>
      <xdr:colOff>0</xdr:colOff>
      <xdr:row>43</xdr:row>
      <xdr:rowOff>678656</xdr:rowOff>
    </xdr:to>
    <xdr:cxnSp macro="">
      <xdr:nvCxnSpPr>
        <xdr:cNvPr id="561" name="直線接點 560"/>
        <xdr:cNvCxnSpPr/>
      </xdr:nvCxnSpPr>
      <xdr:spPr>
        <a:xfrm>
          <a:off x="21847969" y="36206906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43</xdr:row>
      <xdr:rowOff>11906</xdr:rowOff>
    </xdr:from>
    <xdr:to>
      <xdr:col>16</xdr:col>
      <xdr:colOff>0</xdr:colOff>
      <xdr:row>43</xdr:row>
      <xdr:rowOff>678656</xdr:rowOff>
    </xdr:to>
    <xdr:cxnSp macro="">
      <xdr:nvCxnSpPr>
        <xdr:cNvPr id="562" name="直線接點 561"/>
        <xdr:cNvCxnSpPr/>
      </xdr:nvCxnSpPr>
      <xdr:spPr>
        <a:xfrm>
          <a:off x="17621250" y="36206906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43</xdr:row>
      <xdr:rowOff>23812</xdr:rowOff>
    </xdr:from>
    <xdr:to>
      <xdr:col>18</xdr:col>
      <xdr:colOff>11906</xdr:colOff>
      <xdr:row>44</xdr:row>
      <xdr:rowOff>11906</xdr:rowOff>
    </xdr:to>
    <xdr:cxnSp macro="">
      <xdr:nvCxnSpPr>
        <xdr:cNvPr id="563" name="直線接點 562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44</xdr:row>
      <xdr:rowOff>11906</xdr:rowOff>
    </xdr:from>
    <xdr:to>
      <xdr:col>16</xdr:col>
      <xdr:colOff>773906</xdr:colOff>
      <xdr:row>45</xdr:row>
      <xdr:rowOff>0</xdr:rowOff>
    </xdr:to>
    <xdr:cxnSp macro="">
      <xdr:nvCxnSpPr>
        <xdr:cNvPr id="573" name="直線接點 572"/>
        <xdr:cNvCxnSpPr/>
      </xdr:nvCxnSpPr>
      <xdr:spPr>
        <a:xfrm>
          <a:off x="18692812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44</xdr:row>
      <xdr:rowOff>23812</xdr:rowOff>
    </xdr:from>
    <xdr:to>
      <xdr:col>18</xdr:col>
      <xdr:colOff>11906</xdr:colOff>
      <xdr:row>45</xdr:row>
      <xdr:rowOff>11906</xdr:rowOff>
    </xdr:to>
    <xdr:cxnSp macro="">
      <xdr:nvCxnSpPr>
        <xdr:cNvPr id="574" name="直線接點 573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44</xdr:row>
      <xdr:rowOff>0</xdr:rowOff>
    </xdr:from>
    <xdr:to>
      <xdr:col>19</xdr:col>
      <xdr:colOff>0</xdr:colOff>
      <xdr:row>44</xdr:row>
      <xdr:rowOff>666750</xdr:rowOff>
    </xdr:to>
    <xdr:cxnSp macro="">
      <xdr:nvCxnSpPr>
        <xdr:cNvPr id="575" name="直線接點 574"/>
        <xdr:cNvCxnSpPr/>
      </xdr:nvCxnSpPr>
      <xdr:spPr>
        <a:xfrm>
          <a:off x="21074062" y="36195000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44</xdr:row>
      <xdr:rowOff>11906</xdr:rowOff>
    </xdr:from>
    <xdr:to>
      <xdr:col>12</xdr:col>
      <xdr:colOff>773906</xdr:colOff>
      <xdr:row>45</xdr:row>
      <xdr:rowOff>0</xdr:rowOff>
    </xdr:to>
    <xdr:cxnSp macro="">
      <xdr:nvCxnSpPr>
        <xdr:cNvPr id="576" name="直線接點 575"/>
        <xdr:cNvCxnSpPr/>
      </xdr:nvCxnSpPr>
      <xdr:spPr>
        <a:xfrm>
          <a:off x="14478000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44</xdr:row>
      <xdr:rowOff>23812</xdr:rowOff>
    </xdr:from>
    <xdr:to>
      <xdr:col>14</xdr:col>
      <xdr:colOff>11906</xdr:colOff>
      <xdr:row>45</xdr:row>
      <xdr:rowOff>11906</xdr:rowOff>
    </xdr:to>
    <xdr:cxnSp macro="">
      <xdr:nvCxnSpPr>
        <xdr:cNvPr id="577" name="直線接點 576"/>
        <xdr:cNvCxnSpPr/>
      </xdr:nvCxnSpPr>
      <xdr:spPr>
        <a:xfrm>
          <a:off x="15275719" y="36218812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44</xdr:row>
      <xdr:rowOff>11906</xdr:rowOff>
    </xdr:from>
    <xdr:to>
      <xdr:col>14</xdr:col>
      <xdr:colOff>773906</xdr:colOff>
      <xdr:row>45</xdr:row>
      <xdr:rowOff>0</xdr:rowOff>
    </xdr:to>
    <xdr:cxnSp macro="">
      <xdr:nvCxnSpPr>
        <xdr:cNvPr id="578" name="直線接點 577"/>
        <xdr:cNvCxnSpPr/>
      </xdr:nvCxnSpPr>
      <xdr:spPr>
        <a:xfrm>
          <a:off x="16835437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44</xdr:row>
      <xdr:rowOff>11906</xdr:rowOff>
    </xdr:from>
    <xdr:to>
      <xdr:col>20</xdr:col>
      <xdr:colOff>0</xdr:colOff>
      <xdr:row>44</xdr:row>
      <xdr:rowOff>678656</xdr:rowOff>
    </xdr:to>
    <xdr:cxnSp macro="">
      <xdr:nvCxnSpPr>
        <xdr:cNvPr id="579" name="直線接點 578"/>
        <xdr:cNvCxnSpPr/>
      </xdr:nvCxnSpPr>
      <xdr:spPr>
        <a:xfrm>
          <a:off x="21847969" y="36206906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44</xdr:row>
      <xdr:rowOff>11906</xdr:rowOff>
    </xdr:from>
    <xdr:to>
      <xdr:col>16</xdr:col>
      <xdr:colOff>0</xdr:colOff>
      <xdr:row>44</xdr:row>
      <xdr:rowOff>678656</xdr:rowOff>
    </xdr:to>
    <xdr:cxnSp macro="">
      <xdr:nvCxnSpPr>
        <xdr:cNvPr id="580" name="直線接點 579"/>
        <xdr:cNvCxnSpPr/>
      </xdr:nvCxnSpPr>
      <xdr:spPr>
        <a:xfrm>
          <a:off x="17621250" y="36206906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44</xdr:row>
      <xdr:rowOff>23812</xdr:rowOff>
    </xdr:from>
    <xdr:to>
      <xdr:col>18</xdr:col>
      <xdr:colOff>11906</xdr:colOff>
      <xdr:row>45</xdr:row>
      <xdr:rowOff>11906</xdr:rowOff>
    </xdr:to>
    <xdr:cxnSp macro="">
      <xdr:nvCxnSpPr>
        <xdr:cNvPr id="581" name="直線接點 580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35</xdr:row>
      <xdr:rowOff>11906</xdr:rowOff>
    </xdr:from>
    <xdr:to>
      <xdr:col>16</xdr:col>
      <xdr:colOff>773906</xdr:colOff>
      <xdr:row>36</xdr:row>
      <xdr:rowOff>0</xdr:rowOff>
    </xdr:to>
    <xdr:cxnSp macro="">
      <xdr:nvCxnSpPr>
        <xdr:cNvPr id="591" name="直線接點 590"/>
        <xdr:cNvCxnSpPr/>
      </xdr:nvCxnSpPr>
      <xdr:spPr>
        <a:xfrm>
          <a:off x="18692812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35</xdr:row>
      <xdr:rowOff>23812</xdr:rowOff>
    </xdr:from>
    <xdr:to>
      <xdr:col>18</xdr:col>
      <xdr:colOff>11906</xdr:colOff>
      <xdr:row>36</xdr:row>
      <xdr:rowOff>11906</xdr:rowOff>
    </xdr:to>
    <xdr:cxnSp macro="">
      <xdr:nvCxnSpPr>
        <xdr:cNvPr id="592" name="直線接點 591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35</xdr:row>
      <xdr:rowOff>0</xdr:rowOff>
    </xdr:from>
    <xdr:to>
      <xdr:col>19</xdr:col>
      <xdr:colOff>0</xdr:colOff>
      <xdr:row>35</xdr:row>
      <xdr:rowOff>666750</xdr:rowOff>
    </xdr:to>
    <xdr:cxnSp macro="">
      <xdr:nvCxnSpPr>
        <xdr:cNvPr id="593" name="直線接點 592"/>
        <xdr:cNvCxnSpPr/>
      </xdr:nvCxnSpPr>
      <xdr:spPr>
        <a:xfrm>
          <a:off x="21074062" y="36195000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35</xdr:row>
      <xdr:rowOff>11906</xdr:rowOff>
    </xdr:from>
    <xdr:to>
      <xdr:col>12</xdr:col>
      <xdr:colOff>773906</xdr:colOff>
      <xdr:row>36</xdr:row>
      <xdr:rowOff>0</xdr:rowOff>
    </xdr:to>
    <xdr:cxnSp macro="">
      <xdr:nvCxnSpPr>
        <xdr:cNvPr id="594" name="直線接點 593"/>
        <xdr:cNvCxnSpPr/>
      </xdr:nvCxnSpPr>
      <xdr:spPr>
        <a:xfrm>
          <a:off x="14478000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35</xdr:row>
      <xdr:rowOff>23812</xdr:rowOff>
    </xdr:from>
    <xdr:to>
      <xdr:col>14</xdr:col>
      <xdr:colOff>11906</xdr:colOff>
      <xdr:row>36</xdr:row>
      <xdr:rowOff>11906</xdr:rowOff>
    </xdr:to>
    <xdr:cxnSp macro="">
      <xdr:nvCxnSpPr>
        <xdr:cNvPr id="595" name="直線接點 594"/>
        <xdr:cNvCxnSpPr/>
      </xdr:nvCxnSpPr>
      <xdr:spPr>
        <a:xfrm>
          <a:off x="15275719" y="36218812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35</xdr:row>
      <xdr:rowOff>11906</xdr:rowOff>
    </xdr:from>
    <xdr:to>
      <xdr:col>14</xdr:col>
      <xdr:colOff>773906</xdr:colOff>
      <xdr:row>36</xdr:row>
      <xdr:rowOff>0</xdr:rowOff>
    </xdr:to>
    <xdr:cxnSp macro="">
      <xdr:nvCxnSpPr>
        <xdr:cNvPr id="596" name="直線接點 595"/>
        <xdr:cNvCxnSpPr/>
      </xdr:nvCxnSpPr>
      <xdr:spPr>
        <a:xfrm>
          <a:off x="16835437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35</xdr:row>
      <xdr:rowOff>11906</xdr:rowOff>
    </xdr:from>
    <xdr:to>
      <xdr:col>20</xdr:col>
      <xdr:colOff>0</xdr:colOff>
      <xdr:row>35</xdr:row>
      <xdr:rowOff>678656</xdr:rowOff>
    </xdr:to>
    <xdr:cxnSp macro="">
      <xdr:nvCxnSpPr>
        <xdr:cNvPr id="597" name="直線接點 596"/>
        <xdr:cNvCxnSpPr/>
      </xdr:nvCxnSpPr>
      <xdr:spPr>
        <a:xfrm>
          <a:off x="21847969" y="36206906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35</xdr:row>
      <xdr:rowOff>11906</xdr:rowOff>
    </xdr:from>
    <xdr:to>
      <xdr:col>16</xdr:col>
      <xdr:colOff>0</xdr:colOff>
      <xdr:row>35</xdr:row>
      <xdr:rowOff>678656</xdr:rowOff>
    </xdr:to>
    <xdr:cxnSp macro="">
      <xdr:nvCxnSpPr>
        <xdr:cNvPr id="598" name="直線接點 597"/>
        <xdr:cNvCxnSpPr/>
      </xdr:nvCxnSpPr>
      <xdr:spPr>
        <a:xfrm>
          <a:off x="17621250" y="36206906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36</xdr:row>
      <xdr:rowOff>11906</xdr:rowOff>
    </xdr:from>
    <xdr:to>
      <xdr:col>16</xdr:col>
      <xdr:colOff>773906</xdr:colOff>
      <xdr:row>37</xdr:row>
      <xdr:rowOff>0</xdr:rowOff>
    </xdr:to>
    <xdr:cxnSp macro="">
      <xdr:nvCxnSpPr>
        <xdr:cNvPr id="609" name="直線接點 608"/>
        <xdr:cNvCxnSpPr/>
      </xdr:nvCxnSpPr>
      <xdr:spPr>
        <a:xfrm>
          <a:off x="18692812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36</xdr:row>
      <xdr:rowOff>23812</xdr:rowOff>
    </xdr:from>
    <xdr:to>
      <xdr:col>18</xdr:col>
      <xdr:colOff>11906</xdr:colOff>
      <xdr:row>37</xdr:row>
      <xdr:rowOff>11906</xdr:rowOff>
    </xdr:to>
    <xdr:cxnSp macro="">
      <xdr:nvCxnSpPr>
        <xdr:cNvPr id="610" name="直線接點 609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36</xdr:row>
      <xdr:rowOff>0</xdr:rowOff>
    </xdr:from>
    <xdr:to>
      <xdr:col>19</xdr:col>
      <xdr:colOff>0</xdr:colOff>
      <xdr:row>36</xdr:row>
      <xdr:rowOff>666750</xdr:rowOff>
    </xdr:to>
    <xdr:cxnSp macro="">
      <xdr:nvCxnSpPr>
        <xdr:cNvPr id="611" name="直線接點 610"/>
        <xdr:cNvCxnSpPr/>
      </xdr:nvCxnSpPr>
      <xdr:spPr>
        <a:xfrm>
          <a:off x="21074062" y="36195000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36</xdr:row>
      <xdr:rowOff>11906</xdr:rowOff>
    </xdr:from>
    <xdr:to>
      <xdr:col>12</xdr:col>
      <xdr:colOff>773906</xdr:colOff>
      <xdr:row>37</xdr:row>
      <xdr:rowOff>0</xdr:rowOff>
    </xdr:to>
    <xdr:cxnSp macro="">
      <xdr:nvCxnSpPr>
        <xdr:cNvPr id="612" name="直線接點 611"/>
        <xdr:cNvCxnSpPr/>
      </xdr:nvCxnSpPr>
      <xdr:spPr>
        <a:xfrm>
          <a:off x="14478000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36</xdr:row>
      <xdr:rowOff>23812</xdr:rowOff>
    </xdr:from>
    <xdr:to>
      <xdr:col>14</xdr:col>
      <xdr:colOff>11906</xdr:colOff>
      <xdr:row>37</xdr:row>
      <xdr:rowOff>11906</xdr:rowOff>
    </xdr:to>
    <xdr:cxnSp macro="">
      <xdr:nvCxnSpPr>
        <xdr:cNvPr id="613" name="直線接點 612"/>
        <xdr:cNvCxnSpPr/>
      </xdr:nvCxnSpPr>
      <xdr:spPr>
        <a:xfrm>
          <a:off x="15275719" y="36218812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36</xdr:row>
      <xdr:rowOff>11906</xdr:rowOff>
    </xdr:from>
    <xdr:to>
      <xdr:col>14</xdr:col>
      <xdr:colOff>773906</xdr:colOff>
      <xdr:row>37</xdr:row>
      <xdr:rowOff>0</xdr:rowOff>
    </xdr:to>
    <xdr:cxnSp macro="">
      <xdr:nvCxnSpPr>
        <xdr:cNvPr id="614" name="直線接點 613"/>
        <xdr:cNvCxnSpPr/>
      </xdr:nvCxnSpPr>
      <xdr:spPr>
        <a:xfrm>
          <a:off x="16835437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36</xdr:row>
      <xdr:rowOff>11906</xdr:rowOff>
    </xdr:from>
    <xdr:to>
      <xdr:col>20</xdr:col>
      <xdr:colOff>0</xdr:colOff>
      <xdr:row>36</xdr:row>
      <xdr:rowOff>678656</xdr:rowOff>
    </xdr:to>
    <xdr:cxnSp macro="">
      <xdr:nvCxnSpPr>
        <xdr:cNvPr id="615" name="直線接點 614"/>
        <xdr:cNvCxnSpPr/>
      </xdr:nvCxnSpPr>
      <xdr:spPr>
        <a:xfrm>
          <a:off x="21847969" y="36206906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36</xdr:row>
      <xdr:rowOff>11906</xdr:rowOff>
    </xdr:from>
    <xdr:to>
      <xdr:col>16</xdr:col>
      <xdr:colOff>0</xdr:colOff>
      <xdr:row>36</xdr:row>
      <xdr:rowOff>678656</xdr:rowOff>
    </xdr:to>
    <xdr:cxnSp macro="">
      <xdr:nvCxnSpPr>
        <xdr:cNvPr id="616" name="直線接點 615"/>
        <xdr:cNvCxnSpPr/>
      </xdr:nvCxnSpPr>
      <xdr:spPr>
        <a:xfrm>
          <a:off x="17621250" y="36206906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40</xdr:row>
      <xdr:rowOff>11906</xdr:rowOff>
    </xdr:from>
    <xdr:to>
      <xdr:col>16</xdr:col>
      <xdr:colOff>773906</xdr:colOff>
      <xdr:row>41</xdr:row>
      <xdr:rowOff>0</xdr:rowOff>
    </xdr:to>
    <xdr:cxnSp macro="">
      <xdr:nvCxnSpPr>
        <xdr:cNvPr id="627" name="直線接點 626"/>
        <xdr:cNvCxnSpPr/>
      </xdr:nvCxnSpPr>
      <xdr:spPr>
        <a:xfrm>
          <a:off x="18692812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40</xdr:row>
      <xdr:rowOff>23812</xdr:rowOff>
    </xdr:from>
    <xdr:to>
      <xdr:col>18</xdr:col>
      <xdr:colOff>11906</xdr:colOff>
      <xdr:row>41</xdr:row>
      <xdr:rowOff>11906</xdr:rowOff>
    </xdr:to>
    <xdr:cxnSp macro="">
      <xdr:nvCxnSpPr>
        <xdr:cNvPr id="628" name="直線接點 627"/>
        <xdr:cNvCxnSpPr/>
      </xdr:nvCxnSpPr>
      <xdr:spPr>
        <a:xfrm>
          <a:off x="19490531" y="36218812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40</xdr:row>
      <xdr:rowOff>0</xdr:rowOff>
    </xdr:from>
    <xdr:to>
      <xdr:col>19</xdr:col>
      <xdr:colOff>0</xdr:colOff>
      <xdr:row>40</xdr:row>
      <xdr:rowOff>666750</xdr:rowOff>
    </xdr:to>
    <xdr:cxnSp macro="">
      <xdr:nvCxnSpPr>
        <xdr:cNvPr id="629" name="直線接點 628"/>
        <xdr:cNvCxnSpPr/>
      </xdr:nvCxnSpPr>
      <xdr:spPr>
        <a:xfrm>
          <a:off x="21074062" y="36195000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40</xdr:row>
      <xdr:rowOff>11906</xdr:rowOff>
    </xdr:from>
    <xdr:to>
      <xdr:col>12</xdr:col>
      <xdr:colOff>773906</xdr:colOff>
      <xdr:row>41</xdr:row>
      <xdr:rowOff>0</xdr:rowOff>
    </xdr:to>
    <xdr:cxnSp macro="">
      <xdr:nvCxnSpPr>
        <xdr:cNvPr id="630" name="直線接點 629"/>
        <xdr:cNvCxnSpPr/>
      </xdr:nvCxnSpPr>
      <xdr:spPr>
        <a:xfrm>
          <a:off x="14478000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40</xdr:row>
      <xdr:rowOff>23812</xdr:rowOff>
    </xdr:from>
    <xdr:to>
      <xdr:col>14</xdr:col>
      <xdr:colOff>11906</xdr:colOff>
      <xdr:row>41</xdr:row>
      <xdr:rowOff>11906</xdr:rowOff>
    </xdr:to>
    <xdr:cxnSp macro="">
      <xdr:nvCxnSpPr>
        <xdr:cNvPr id="631" name="直線接點 630"/>
        <xdr:cNvCxnSpPr/>
      </xdr:nvCxnSpPr>
      <xdr:spPr>
        <a:xfrm>
          <a:off x="15275719" y="36218812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40</xdr:row>
      <xdr:rowOff>11906</xdr:rowOff>
    </xdr:from>
    <xdr:to>
      <xdr:col>14</xdr:col>
      <xdr:colOff>773906</xdr:colOff>
      <xdr:row>41</xdr:row>
      <xdr:rowOff>0</xdr:rowOff>
    </xdr:to>
    <xdr:cxnSp macro="">
      <xdr:nvCxnSpPr>
        <xdr:cNvPr id="632" name="直線接點 631"/>
        <xdr:cNvCxnSpPr/>
      </xdr:nvCxnSpPr>
      <xdr:spPr>
        <a:xfrm>
          <a:off x="16835437" y="36206906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40</xdr:row>
      <xdr:rowOff>11906</xdr:rowOff>
    </xdr:from>
    <xdr:to>
      <xdr:col>20</xdr:col>
      <xdr:colOff>0</xdr:colOff>
      <xdr:row>40</xdr:row>
      <xdr:rowOff>678656</xdr:rowOff>
    </xdr:to>
    <xdr:cxnSp macro="">
      <xdr:nvCxnSpPr>
        <xdr:cNvPr id="633" name="直線接點 632"/>
        <xdr:cNvCxnSpPr/>
      </xdr:nvCxnSpPr>
      <xdr:spPr>
        <a:xfrm>
          <a:off x="21847969" y="36206906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40</xdr:row>
      <xdr:rowOff>11906</xdr:rowOff>
    </xdr:from>
    <xdr:to>
      <xdr:col>16</xdr:col>
      <xdr:colOff>0</xdr:colOff>
      <xdr:row>40</xdr:row>
      <xdr:rowOff>678656</xdr:rowOff>
    </xdr:to>
    <xdr:cxnSp macro="">
      <xdr:nvCxnSpPr>
        <xdr:cNvPr id="634" name="直線接點 633"/>
        <xdr:cNvCxnSpPr/>
      </xdr:nvCxnSpPr>
      <xdr:spPr>
        <a:xfrm>
          <a:off x="17621250" y="36206906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45</xdr:row>
      <xdr:rowOff>23812</xdr:rowOff>
    </xdr:from>
    <xdr:to>
      <xdr:col>18</xdr:col>
      <xdr:colOff>11906</xdr:colOff>
      <xdr:row>46</xdr:row>
      <xdr:rowOff>11906</xdr:rowOff>
    </xdr:to>
    <xdr:cxnSp macro="">
      <xdr:nvCxnSpPr>
        <xdr:cNvPr id="643" name="直線接點 642"/>
        <xdr:cNvCxnSpPr/>
      </xdr:nvCxnSpPr>
      <xdr:spPr>
        <a:xfrm>
          <a:off x="19490531" y="28622625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45</xdr:row>
      <xdr:rowOff>23812</xdr:rowOff>
    </xdr:from>
    <xdr:to>
      <xdr:col>18</xdr:col>
      <xdr:colOff>11906</xdr:colOff>
      <xdr:row>46</xdr:row>
      <xdr:rowOff>11906</xdr:rowOff>
    </xdr:to>
    <xdr:cxnSp macro="">
      <xdr:nvCxnSpPr>
        <xdr:cNvPr id="644" name="直線接點 643"/>
        <xdr:cNvCxnSpPr/>
      </xdr:nvCxnSpPr>
      <xdr:spPr>
        <a:xfrm>
          <a:off x="19490531" y="28622625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46</xdr:row>
      <xdr:rowOff>11906</xdr:rowOff>
    </xdr:from>
    <xdr:to>
      <xdr:col>16</xdr:col>
      <xdr:colOff>773906</xdr:colOff>
      <xdr:row>47</xdr:row>
      <xdr:rowOff>0</xdr:rowOff>
    </xdr:to>
    <xdr:cxnSp macro="">
      <xdr:nvCxnSpPr>
        <xdr:cNvPr id="645" name="直線接點 644"/>
        <xdr:cNvCxnSpPr/>
      </xdr:nvCxnSpPr>
      <xdr:spPr>
        <a:xfrm>
          <a:off x="18692812" y="29301281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46</xdr:row>
      <xdr:rowOff>23812</xdr:rowOff>
    </xdr:from>
    <xdr:to>
      <xdr:col>18</xdr:col>
      <xdr:colOff>11906</xdr:colOff>
      <xdr:row>47</xdr:row>
      <xdr:rowOff>11906</xdr:rowOff>
    </xdr:to>
    <xdr:cxnSp macro="">
      <xdr:nvCxnSpPr>
        <xdr:cNvPr id="646" name="直線接點 645"/>
        <xdr:cNvCxnSpPr/>
      </xdr:nvCxnSpPr>
      <xdr:spPr>
        <a:xfrm>
          <a:off x="19490531" y="29313187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46</xdr:row>
      <xdr:rowOff>0</xdr:rowOff>
    </xdr:from>
    <xdr:to>
      <xdr:col>19</xdr:col>
      <xdr:colOff>0</xdr:colOff>
      <xdr:row>46</xdr:row>
      <xdr:rowOff>666750</xdr:rowOff>
    </xdr:to>
    <xdr:cxnSp macro="">
      <xdr:nvCxnSpPr>
        <xdr:cNvPr id="647" name="直線接點 646"/>
        <xdr:cNvCxnSpPr/>
      </xdr:nvCxnSpPr>
      <xdr:spPr>
        <a:xfrm>
          <a:off x="21074062" y="29289375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46</xdr:row>
      <xdr:rowOff>11906</xdr:rowOff>
    </xdr:from>
    <xdr:to>
      <xdr:col>20</xdr:col>
      <xdr:colOff>0</xdr:colOff>
      <xdr:row>46</xdr:row>
      <xdr:rowOff>678656</xdr:rowOff>
    </xdr:to>
    <xdr:cxnSp macro="">
      <xdr:nvCxnSpPr>
        <xdr:cNvPr id="648" name="直線接點 647"/>
        <xdr:cNvCxnSpPr/>
      </xdr:nvCxnSpPr>
      <xdr:spPr>
        <a:xfrm>
          <a:off x="21847969" y="29301281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46</xdr:row>
      <xdr:rowOff>23812</xdr:rowOff>
    </xdr:from>
    <xdr:to>
      <xdr:col>18</xdr:col>
      <xdr:colOff>11906</xdr:colOff>
      <xdr:row>47</xdr:row>
      <xdr:rowOff>11906</xdr:rowOff>
    </xdr:to>
    <xdr:cxnSp macro="">
      <xdr:nvCxnSpPr>
        <xdr:cNvPr id="649" name="直線接點 648"/>
        <xdr:cNvCxnSpPr/>
      </xdr:nvCxnSpPr>
      <xdr:spPr>
        <a:xfrm>
          <a:off x="19490531" y="29313187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53</xdr:row>
      <xdr:rowOff>11906</xdr:rowOff>
    </xdr:from>
    <xdr:to>
      <xdr:col>16</xdr:col>
      <xdr:colOff>773906</xdr:colOff>
      <xdr:row>54</xdr:row>
      <xdr:rowOff>0</xdr:rowOff>
    </xdr:to>
    <xdr:cxnSp macro="">
      <xdr:nvCxnSpPr>
        <xdr:cNvPr id="665" name="直線接點 664"/>
        <xdr:cNvCxnSpPr/>
      </xdr:nvCxnSpPr>
      <xdr:spPr>
        <a:xfrm>
          <a:off x="18692812" y="32754094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53</xdr:row>
      <xdr:rowOff>23812</xdr:rowOff>
    </xdr:from>
    <xdr:to>
      <xdr:col>18</xdr:col>
      <xdr:colOff>11906</xdr:colOff>
      <xdr:row>54</xdr:row>
      <xdr:rowOff>11906</xdr:rowOff>
    </xdr:to>
    <xdr:cxnSp macro="">
      <xdr:nvCxnSpPr>
        <xdr:cNvPr id="666" name="直線接點 665"/>
        <xdr:cNvCxnSpPr/>
      </xdr:nvCxnSpPr>
      <xdr:spPr>
        <a:xfrm>
          <a:off x="19490531" y="32766000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53</xdr:row>
      <xdr:rowOff>0</xdr:rowOff>
    </xdr:from>
    <xdr:to>
      <xdr:col>19</xdr:col>
      <xdr:colOff>0</xdr:colOff>
      <xdr:row>53</xdr:row>
      <xdr:rowOff>666750</xdr:rowOff>
    </xdr:to>
    <xdr:cxnSp macro="">
      <xdr:nvCxnSpPr>
        <xdr:cNvPr id="667" name="直線接點 666"/>
        <xdr:cNvCxnSpPr/>
      </xdr:nvCxnSpPr>
      <xdr:spPr>
        <a:xfrm>
          <a:off x="21074062" y="32742188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53</xdr:row>
      <xdr:rowOff>11906</xdr:rowOff>
    </xdr:from>
    <xdr:to>
      <xdr:col>12</xdr:col>
      <xdr:colOff>773906</xdr:colOff>
      <xdr:row>54</xdr:row>
      <xdr:rowOff>0</xdr:rowOff>
    </xdr:to>
    <xdr:cxnSp macro="">
      <xdr:nvCxnSpPr>
        <xdr:cNvPr id="668" name="直線接點 667"/>
        <xdr:cNvCxnSpPr/>
      </xdr:nvCxnSpPr>
      <xdr:spPr>
        <a:xfrm>
          <a:off x="14478000" y="32754094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53</xdr:row>
      <xdr:rowOff>23812</xdr:rowOff>
    </xdr:from>
    <xdr:to>
      <xdr:col>14</xdr:col>
      <xdr:colOff>11906</xdr:colOff>
      <xdr:row>54</xdr:row>
      <xdr:rowOff>11906</xdr:rowOff>
    </xdr:to>
    <xdr:cxnSp macro="">
      <xdr:nvCxnSpPr>
        <xdr:cNvPr id="669" name="直線接點 668"/>
        <xdr:cNvCxnSpPr/>
      </xdr:nvCxnSpPr>
      <xdr:spPr>
        <a:xfrm>
          <a:off x="15275719" y="32766000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53</xdr:row>
      <xdr:rowOff>11906</xdr:rowOff>
    </xdr:from>
    <xdr:to>
      <xdr:col>14</xdr:col>
      <xdr:colOff>773906</xdr:colOff>
      <xdr:row>54</xdr:row>
      <xdr:rowOff>0</xdr:rowOff>
    </xdr:to>
    <xdr:cxnSp macro="">
      <xdr:nvCxnSpPr>
        <xdr:cNvPr id="670" name="直線接點 669"/>
        <xdr:cNvCxnSpPr/>
      </xdr:nvCxnSpPr>
      <xdr:spPr>
        <a:xfrm>
          <a:off x="16835437" y="32754094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53</xdr:row>
      <xdr:rowOff>11906</xdr:rowOff>
    </xdr:from>
    <xdr:to>
      <xdr:col>20</xdr:col>
      <xdr:colOff>0</xdr:colOff>
      <xdr:row>53</xdr:row>
      <xdr:rowOff>678656</xdr:rowOff>
    </xdr:to>
    <xdr:cxnSp macro="">
      <xdr:nvCxnSpPr>
        <xdr:cNvPr id="671" name="直線接點 670"/>
        <xdr:cNvCxnSpPr/>
      </xdr:nvCxnSpPr>
      <xdr:spPr>
        <a:xfrm>
          <a:off x="21847969" y="32754094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53</xdr:row>
      <xdr:rowOff>11906</xdr:rowOff>
    </xdr:from>
    <xdr:to>
      <xdr:col>16</xdr:col>
      <xdr:colOff>0</xdr:colOff>
      <xdr:row>53</xdr:row>
      <xdr:rowOff>678656</xdr:rowOff>
    </xdr:to>
    <xdr:cxnSp macro="">
      <xdr:nvCxnSpPr>
        <xdr:cNvPr id="672" name="直線接點 671"/>
        <xdr:cNvCxnSpPr/>
      </xdr:nvCxnSpPr>
      <xdr:spPr>
        <a:xfrm>
          <a:off x="17621250" y="32754094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53</xdr:row>
      <xdr:rowOff>23812</xdr:rowOff>
    </xdr:from>
    <xdr:to>
      <xdr:col>18</xdr:col>
      <xdr:colOff>11906</xdr:colOff>
      <xdr:row>54</xdr:row>
      <xdr:rowOff>11906</xdr:rowOff>
    </xdr:to>
    <xdr:cxnSp macro="">
      <xdr:nvCxnSpPr>
        <xdr:cNvPr id="673" name="直線接點 672"/>
        <xdr:cNvCxnSpPr/>
      </xdr:nvCxnSpPr>
      <xdr:spPr>
        <a:xfrm>
          <a:off x="19490531" y="32766000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57</xdr:row>
      <xdr:rowOff>23812</xdr:rowOff>
    </xdr:from>
    <xdr:to>
      <xdr:col>18</xdr:col>
      <xdr:colOff>11906</xdr:colOff>
      <xdr:row>58</xdr:row>
      <xdr:rowOff>11906</xdr:rowOff>
    </xdr:to>
    <xdr:cxnSp macro="">
      <xdr:nvCxnSpPr>
        <xdr:cNvPr id="705" name="直線接點 704"/>
        <xdr:cNvCxnSpPr/>
      </xdr:nvCxnSpPr>
      <xdr:spPr>
        <a:xfrm>
          <a:off x="19490531" y="37599937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57</xdr:row>
      <xdr:rowOff>23812</xdr:rowOff>
    </xdr:from>
    <xdr:to>
      <xdr:col>18</xdr:col>
      <xdr:colOff>11906</xdr:colOff>
      <xdr:row>58</xdr:row>
      <xdr:rowOff>11906</xdr:rowOff>
    </xdr:to>
    <xdr:cxnSp macro="">
      <xdr:nvCxnSpPr>
        <xdr:cNvPr id="706" name="直線接點 705"/>
        <xdr:cNvCxnSpPr/>
      </xdr:nvCxnSpPr>
      <xdr:spPr>
        <a:xfrm>
          <a:off x="19490531" y="37599937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58</xdr:row>
      <xdr:rowOff>11906</xdr:rowOff>
    </xdr:from>
    <xdr:to>
      <xdr:col>16</xdr:col>
      <xdr:colOff>773906</xdr:colOff>
      <xdr:row>59</xdr:row>
      <xdr:rowOff>0</xdr:rowOff>
    </xdr:to>
    <xdr:cxnSp macro="">
      <xdr:nvCxnSpPr>
        <xdr:cNvPr id="707" name="直線接點 706"/>
        <xdr:cNvCxnSpPr/>
      </xdr:nvCxnSpPr>
      <xdr:spPr>
        <a:xfrm>
          <a:off x="18692812" y="38278594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58</xdr:row>
      <xdr:rowOff>23812</xdr:rowOff>
    </xdr:from>
    <xdr:to>
      <xdr:col>18</xdr:col>
      <xdr:colOff>11906</xdr:colOff>
      <xdr:row>62</xdr:row>
      <xdr:rowOff>11906</xdr:rowOff>
    </xdr:to>
    <xdr:cxnSp macro="">
      <xdr:nvCxnSpPr>
        <xdr:cNvPr id="708" name="直線接點 707"/>
        <xdr:cNvCxnSpPr/>
      </xdr:nvCxnSpPr>
      <xdr:spPr>
        <a:xfrm>
          <a:off x="19490531" y="38290500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58</xdr:row>
      <xdr:rowOff>0</xdr:rowOff>
    </xdr:from>
    <xdr:to>
      <xdr:col>19</xdr:col>
      <xdr:colOff>0</xdr:colOff>
      <xdr:row>58</xdr:row>
      <xdr:rowOff>666750</xdr:rowOff>
    </xdr:to>
    <xdr:cxnSp macro="">
      <xdr:nvCxnSpPr>
        <xdr:cNvPr id="709" name="直線接點 708"/>
        <xdr:cNvCxnSpPr/>
      </xdr:nvCxnSpPr>
      <xdr:spPr>
        <a:xfrm>
          <a:off x="21074062" y="38266688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11906</xdr:rowOff>
    </xdr:from>
    <xdr:to>
      <xdr:col>20</xdr:col>
      <xdr:colOff>0</xdr:colOff>
      <xdr:row>58</xdr:row>
      <xdr:rowOff>678656</xdr:rowOff>
    </xdr:to>
    <xdr:cxnSp macro="">
      <xdr:nvCxnSpPr>
        <xdr:cNvPr id="710" name="直線接點 709"/>
        <xdr:cNvCxnSpPr/>
      </xdr:nvCxnSpPr>
      <xdr:spPr>
        <a:xfrm>
          <a:off x="21847969" y="38278594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58</xdr:row>
      <xdr:rowOff>23812</xdr:rowOff>
    </xdr:from>
    <xdr:to>
      <xdr:col>18</xdr:col>
      <xdr:colOff>11906</xdr:colOff>
      <xdr:row>62</xdr:row>
      <xdr:rowOff>11906</xdr:rowOff>
    </xdr:to>
    <xdr:cxnSp macro="">
      <xdr:nvCxnSpPr>
        <xdr:cNvPr id="711" name="直線接點 710"/>
        <xdr:cNvCxnSpPr/>
      </xdr:nvCxnSpPr>
      <xdr:spPr>
        <a:xfrm>
          <a:off x="19490531" y="38290500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12</xdr:row>
      <xdr:rowOff>11906</xdr:rowOff>
    </xdr:from>
    <xdr:to>
      <xdr:col>16</xdr:col>
      <xdr:colOff>773906</xdr:colOff>
      <xdr:row>13</xdr:row>
      <xdr:rowOff>0</xdr:rowOff>
    </xdr:to>
    <xdr:cxnSp macro="">
      <xdr:nvCxnSpPr>
        <xdr:cNvPr id="747" name="直線接點 746"/>
        <xdr:cNvCxnSpPr/>
      </xdr:nvCxnSpPr>
      <xdr:spPr>
        <a:xfrm>
          <a:off x="18692812" y="6262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12</xdr:row>
      <xdr:rowOff>23812</xdr:rowOff>
    </xdr:from>
    <xdr:to>
      <xdr:col>18</xdr:col>
      <xdr:colOff>11906</xdr:colOff>
      <xdr:row>13</xdr:row>
      <xdr:rowOff>11906</xdr:rowOff>
    </xdr:to>
    <xdr:cxnSp macro="">
      <xdr:nvCxnSpPr>
        <xdr:cNvPr id="748" name="直線接點 747"/>
        <xdr:cNvCxnSpPr/>
      </xdr:nvCxnSpPr>
      <xdr:spPr>
        <a:xfrm>
          <a:off x="19490531" y="627459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12</xdr:row>
      <xdr:rowOff>0</xdr:rowOff>
    </xdr:from>
    <xdr:to>
      <xdr:col>19</xdr:col>
      <xdr:colOff>0</xdr:colOff>
      <xdr:row>12</xdr:row>
      <xdr:rowOff>666750</xdr:rowOff>
    </xdr:to>
    <xdr:cxnSp macro="">
      <xdr:nvCxnSpPr>
        <xdr:cNvPr id="749" name="直線接點 748"/>
        <xdr:cNvCxnSpPr/>
      </xdr:nvCxnSpPr>
      <xdr:spPr>
        <a:xfrm>
          <a:off x="21074062" y="6250781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12</xdr:row>
      <xdr:rowOff>11906</xdr:rowOff>
    </xdr:from>
    <xdr:to>
      <xdr:col>12</xdr:col>
      <xdr:colOff>773906</xdr:colOff>
      <xdr:row>13</xdr:row>
      <xdr:rowOff>0</xdr:rowOff>
    </xdr:to>
    <xdr:cxnSp macro="">
      <xdr:nvCxnSpPr>
        <xdr:cNvPr id="750" name="直線接點 749"/>
        <xdr:cNvCxnSpPr/>
      </xdr:nvCxnSpPr>
      <xdr:spPr>
        <a:xfrm>
          <a:off x="14478000" y="6262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12</xdr:row>
      <xdr:rowOff>23812</xdr:rowOff>
    </xdr:from>
    <xdr:to>
      <xdr:col>14</xdr:col>
      <xdr:colOff>11906</xdr:colOff>
      <xdr:row>13</xdr:row>
      <xdr:rowOff>11906</xdr:rowOff>
    </xdr:to>
    <xdr:cxnSp macro="">
      <xdr:nvCxnSpPr>
        <xdr:cNvPr id="751" name="直線接點 750"/>
        <xdr:cNvCxnSpPr/>
      </xdr:nvCxnSpPr>
      <xdr:spPr>
        <a:xfrm>
          <a:off x="15275719" y="627459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12</xdr:row>
      <xdr:rowOff>11906</xdr:rowOff>
    </xdr:from>
    <xdr:to>
      <xdr:col>14</xdr:col>
      <xdr:colOff>773906</xdr:colOff>
      <xdr:row>13</xdr:row>
      <xdr:rowOff>0</xdr:rowOff>
    </xdr:to>
    <xdr:cxnSp macro="">
      <xdr:nvCxnSpPr>
        <xdr:cNvPr id="752" name="直線接點 751"/>
        <xdr:cNvCxnSpPr/>
      </xdr:nvCxnSpPr>
      <xdr:spPr>
        <a:xfrm>
          <a:off x="16835437" y="6262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</xdr:row>
      <xdr:rowOff>11906</xdr:rowOff>
    </xdr:from>
    <xdr:to>
      <xdr:col>20</xdr:col>
      <xdr:colOff>0</xdr:colOff>
      <xdr:row>12</xdr:row>
      <xdr:rowOff>678656</xdr:rowOff>
    </xdr:to>
    <xdr:cxnSp macro="">
      <xdr:nvCxnSpPr>
        <xdr:cNvPr id="754" name="直線接點 753"/>
        <xdr:cNvCxnSpPr/>
      </xdr:nvCxnSpPr>
      <xdr:spPr>
        <a:xfrm>
          <a:off x="21847969" y="6262687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11906</xdr:rowOff>
    </xdr:from>
    <xdr:to>
      <xdr:col>16</xdr:col>
      <xdr:colOff>0</xdr:colOff>
      <xdr:row>12</xdr:row>
      <xdr:rowOff>678656</xdr:rowOff>
    </xdr:to>
    <xdr:cxnSp macro="">
      <xdr:nvCxnSpPr>
        <xdr:cNvPr id="755" name="直線接點 754"/>
        <xdr:cNvCxnSpPr/>
      </xdr:nvCxnSpPr>
      <xdr:spPr>
        <a:xfrm>
          <a:off x="17621250" y="6262687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13</xdr:row>
      <xdr:rowOff>11906</xdr:rowOff>
    </xdr:from>
    <xdr:to>
      <xdr:col>16</xdr:col>
      <xdr:colOff>773906</xdr:colOff>
      <xdr:row>14</xdr:row>
      <xdr:rowOff>0</xdr:rowOff>
    </xdr:to>
    <xdr:cxnSp macro="">
      <xdr:nvCxnSpPr>
        <xdr:cNvPr id="771" name="直線接點 770"/>
        <xdr:cNvCxnSpPr/>
      </xdr:nvCxnSpPr>
      <xdr:spPr>
        <a:xfrm>
          <a:off x="18692812" y="76438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13</xdr:row>
      <xdr:rowOff>23812</xdr:rowOff>
    </xdr:from>
    <xdr:to>
      <xdr:col>18</xdr:col>
      <xdr:colOff>11906</xdr:colOff>
      <xdr:row>14</xdr:row>
      <xdr:rowOff>11906</xdr:rowOff>
    </xdr:to>
    <xdr:cxnSp macro="">
      <xdr:nvCxnSpPr>
        <xdr:cNvPr id="772" name="直線接點 771"/>
        <xdr:cNvCxnSpPr/>
      </xdr:nvCxnSpPr>
      <xdr:spPr>
        <a:xfrm>
          <a:off x="19490531" y="7655718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13</xdr:row>
      <xdr:rowOff>0</xdr:rowOff>
    </xdr:from>
    <xdr:to>
      <xdr:col>19</xdr:col>
      <xdr:colOff>0</xdr:colOff>
      <xdr:row>13</xdr:row>
      <xdr:rowOff>666750</xdr:rowOff>
    </xdr:to>
    <xdr:cxnSp macro="">
      <xdr:nvCxnSpPr>
        <xdr:cNvPr id="773" name="直線接點 772"/>
        <xdr:cNvCxnSpPr/>
      </xdr:nvCxnSpPr>
      <xdr:spPr>
        <a:xfrm>
          <a:off x="21074062" y="7631906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13</xdr:row>
      <xdr:rowOff>11906</xdr:rowOff>
    </xdr:from>
    <xdr:to>
      <xdr:col>12</xdr:col>
      <xdr:colOff>773906</xdr:colOff>
      <xdr:row>14</xdr:row>
      <xdr:rowOff>0</xdr:rowOff>
    </xdr:to>
    <xdr:cxnSp macro="">
      <xdr:nvCxnSpPr>
        <xdr:cNvPr id="774" name="直線接點 773"/>
        <xdr:cNvCxnSpPr/>
      </xdr:nvCxnSpPr>
      <xdr:spPr>
        <a:xfrm>
          <a:off x="14478000" y="76438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13</xdr:row>
      <xdr:rowOff>23812</xdr:rowOff>
    </xdr:from>
    <xdr:to>
      <xdr:col>14</xdr:col>
      <xdr:colOff>11906</xdr:colOff>
      <xdr:row>14</xdr:row>
      <xdr:rowOff>11906</xdr:rowOff>
    </xdr:to>
    <xdr:cxnSp macro="">
      <xdr:nvCxnSpPr>
        <xdr:cNvPr id="775" name="直線接點 774"/>
        <xdr:cNvCxnSpPr/>
      </xdr:nvCxnSpPr>
      <xdr:spPr>
        <a:xfrm>
          <a:off x="15275719" y="7655718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13</xdr:row>
      <xdr:rowOff>11906</xdr:rowOff>
    </xdr:from>
    <xdr:to>
      <xdr:col>14</xdr:col>
      <xdr:colOff>773906</xdr:colOff>
      <xdr:row>14</xdr:row>
      <xdr:rowOff>0</xdr:rowOff>
    </xdr:to>
    <xdr:cxnSp macro="">
      <xdr:nvCxnSpPr>
        <xdr:cNvPr id="776" name="直線接點 775"/>
        <xdr:cNvCxnSpPr/>
      </xdr:nvCxnSpPr>
      <xdr:spPr>
        <a:xfrm>
          <a:off x="16835437" y="76438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</xdr:row>
      <xdr:rowOff>11906</xdr:rowOff>
    </xdr:from>
    <xdr:to>
      <xdr:col>20</xdr:col>
      <xdr:colOff>0</xdr:colOff>
      <xdr:row>13</xdr:row>
      <xdr:rowOff>678656</xdr:rowOff>
    </xdr:to>
    <xdr:cxnSp macro="">
      <xdr:nvCxnSpPr>
        <xdr:cNvPr id="778" name="直線接點 777"/>
        <xdr:cNvCxnSpPr/>
      </xdr:nvCxnSpPr>
      <xdr:spPr>
        <a:xfrm>
          <a:off x="21847969" y="7643812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11906</xdr:rowOff>
    </xdr:from>
    <xdr:to>
      <xdr:col>16</xdr:col>
      <xdr:colOff>0</xdr:colOff>
      <xdr:row>13</xdr:row>
      <xdr:rowOff>678656</xdr:rowOff>
    </xdr:to>
    <xdr:cxnSp macro="">
      <xdr:nvCxnSpPr>
        <xdr:cNvPr id="779" name="直線接點 778"/>
        <xdr:cNvCxnSpPr/>
      </xdr:nvCxnSpPr>
      <xdr:spPr>
        <a:xfrm>
          <a:off x="17621250" y="7643812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14</xdr:row>
      <xdr:rowOff>11906</xdr:rowOff>
    </xdr:from>
    <xdr:to>
      <xdr:col>16</xdr:col>
      <xdr:colOff>773906</xdr:colOff>
      <xdr:row>15</xdr:row>
      <xdr:rowOff>0</xdr:rowOff>
    </xdr:to>
    <xdr:cxnSp macro="">
      <xdr:nvCxnSpPr>
        <xdr:cNvPr id="799" name="直線接點 798"/>
        <xdr:cNvCxnSpPr/>
      </xdr:nvCxnSpPr>
      <xdr:spPr>
        <a:xfrm>
          <a:off x="18692812" y="76438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14</xdr:row>
      <xdr:rowOff>23812</xdr:rowOff>
    </xdr:from>
    <xdr:to>
      <xdr:col>18</xdr:col>
      <xdr:colOff>11906</xdr:colOff>
      <xdr:row>15</xdr:row>
      <xdr:rowOff>11906</xdr:rowOff>
    </xdr:to>
    <xdr:cxnSp macro="">
      <xdr:nvCxnSpPr>
        <xdr:cNvPr id="800" name="直線接點 799"/>
        <xdr:cNvCxnSpPr/>
      </xdr:nvCxnSpPr>
      <xdr:spPr>
        <a:xfrm>
          <a:off x="19490531" y="7655718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14</xdr:row>
      <xdr:rowOff>0</xdr:rowOff>
    </xdr:from>
    <xdr:to>
      <xdr:col>19</xdr:col>
      <xdr:colOff>0</xdr:colOff>
      <xdr:row>14</xdr:row>
      <xdr:rowOff>666750</xdr:rowOff>
    </xdr:to>
    <xdr:cxnSp macro="">
      <xdr:nvCxnSpPr>
        <xdr:cNvPr id="801" name="直線接點 800"/>
        <xdr:cNvCxnSpPr/>
      </xdr:nvCxnSpPr>
      <xdr:spPr>
        <a:xfrm>
          <a:off x="21074062" y="7631906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14</xdr:row>
      <xdr:rowOff>11906</xdr:rowOff>
    </xdr:from>
    <xdr:to>
      <xdr:col>12</xdr:col>
      <xdr:colOff>773906</xdr:colOff>
      <xdr:row>15</xdr:row>
      <xdr:rowOff>0</xdr:rowOff>
    </xdr:to>
    <xdr:cxnSp macro="">
      <xdr:nvCxnSpPr>
        <xdr:cNvPr id="802" name="直線接點 801"/>
        <xdr:cNvCxnSpPr/>
      </xdr:nvCxnSpPr>
      <xdr:spPr>
        <a:xfrm>
          <a:off x="14478000" y="76438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14</xdr:row>
      <xdr:rowOff>23812</xdr:rowOff>
    </xdr:from>
    <xdr:to>
      <xdr:col>14</xdr:col>
      <xdr:colOff>11906</xdr:colOff>
      <xdr:row>15</xdr:row>
      <xdr:rowOff>11906</xdr:rowOff>
    </xdr:to>
    <xdr:cxnSp macro="">
      <xdr:nvCxnSpPr>
        <xdr:cNvPr id="803" name="直線接點 802"/>
        <xdr:cNvCxnSpPr/>
      </xdr:nvCxnSpPr>
      <xdr:spPr>
        <a:xfrm>
          <a:off x="15275719" y="7655718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14</xdr:row>
      <xdr:rowOff>11906</xdr:rowOff>
    </xdr:from>
    <xdr:to>
      <xdr:col>14</xdr:col>
      <xdr:colOff>773906</xdr:colOff>
      <xdr:row>15</xdr:row>
      <xdr:rowOff>0</xdr:rowOff>
    </xdr:to>
    <xdr:cxnSp macro="">
      <xdr:nvCxnSpPr>
        <xdr:cNvPr id="804" name="直線接點 803"/>
        <xdr:cNvCxnSpPr/>
      </xdr:nvCxnSpPr>
      <xdr:spPr>
        <a:xfrm>
          <a:off x="16835437" y="76438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11906</xdr:rowOff>
    </xdr:from>
    <xdr:to>
      <xdr:col>20</xdr:col>
      <xdr:colOff>0</xdr:colOff>
      <xdr:row>14</xdr:row>
      <xdr:rowOff>678656</xdr:rowOff>
    </xdr:to>
    <xdr:cxnSp macro="">
      <xdr:nvCxnSpPr>
        <xdr:cNvPr id="806" name="直線接點 805"/>
        <xdr:cNvCxnSpPr/>
      </xdr:nvCxnSpPr>
      <xdr:spPr>
        <a:xfrm>
          <a:off x="21847969" y="7643812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11906</xdr:rowOff>
    </xdr:from>
    <xdr:to>
      <xdr:col>16</xdr:col>
      <xdr:colOff>0</xdr:colOff>
      <xdr:row>14</xdr:row>
      <xdr:rowOff>678656</xdr:rowOff>
    </xdr:to>
    <xdr:cxnSp macro="">
      <xdr:nvCxnSpPr>
        <xdr:cNvPr id="807" name="直線接點 806"/>
        <xdr:cNvCxnSpPr/>
      </xdr:nvCxnSpPr>
      <xdr:spPr>
        <a:xfrm>
          <a:off x="17621250" y="7643812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14</xdr:row>
      <xdr:rowOff>23812</xdr:rowOff>
    </xdr:from>
    <xdr:to>
      <xdr:col>18</xdr:col>
      <xdr:colOff>11906</xdr:colOff>
      <xdr:row>15</xdr:row>
      <xdr:rowOff>11906</xdr:rowOff>
    </xdr:to>
    <xdr:cxnSp macro="">
      <xdr:nvCxnSpPr>
        <xdr:cNvPr id="817" name="直線接點 816"/>
        <xdr:cNvCxnSpPr/>
      </xdr:nvCxnSpPr>
      <xdr:spPr>
        <a:xfrm>
          <a:off x="19490531" y="834628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15</xdr:row>
      <xdr:rowOff>11906</xdr:rowOff>
    </xdr:from>
    <xdr:to>
      <xdr:col>16</xdr:col>
      <xdr:colOff>773906</xdr:colOff>
      <xdr:row>16</xdr:row>
      <xdr:rowOff>0</xdr:rowOff>
    </xdr:to>
    <xdr:cxnSp macro="">
      <xdr:nvCxnSpPr>
        <xdr:cNvPr id="818" name="直線接點 817"/>
        <xdr:cNvCxnSpPr/>
      </xdr:nvCxnSpPr>
      <xdr:spPr>
        <a:xfrm>
          <a:off x="18692812" y="90249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15</xdr:row>
      <xdr:rowOff>23812</xdr:rowOff>
    </xdr:from>
    <xdr:to>
      <xdr:col>18</xdr:col>
      <xdr:colOff>11906</xdr:colOff>
      <xdr:row>16</xdr:row>
      <xdr:rowOff>11906</xdr:rowOff>
    </xdr:to>
    <xdr:cxnSp macro="">
      <xdr:nvCxnSpPr>
        <xdr:cNvPr id="819" name="直線接點 818"/>
        <xdr:cNvCxnSpPr/>
      </xdr:nvCxnSpPr>
      <xdr:spPr>
        <a:xfrm>
          <a:off x="19490531" y="903684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15</xdr:row>
      <xdr:rowOff>0</xdr:rowOff>
    </xdr:from>
    <xdr:to>
      <xdr:col>19</xdr:col>
      <xdr:colOff>0</xdr:colOff>
      <xdr:row>15</xdr:row>
      <xdr:rowOff>666750</xdr:rowOff>
    </xdr:to>
    <xdr:cxnSp macro="">
      <xdr:nvCxnSpPr>
        <xdr:cNvPr id="820" name="直線接點 819"/>
        <xdr:cNvCxnSpPr/>
      </xdr:nvCxnSpPr>
      <xdr:spPr>
        <a:xfrm>
          <a:off x="21074062" y="9013031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</xdr:row>
      <xdr:rowOff>11906</xdr:rowOff>
    </xdr:from>
    <xdr:to>
      <xdr:col>20</xdr:col>
      <xdr:colOff>0</xdr:colOff>
      <xdr:row>15</xdr:row>
      <xdr:rowOff>678656</xdr:rowOff>
    </xdr:to>
    <xdr:cxnSp macro="">
      <xdr:nvCxnSpPr>
        <xdr:cNvPr id="821" name="直線接點 820"/>
        <xdr:cNvCxnSpPr/>
      </xdr:nvCxnSpPr>
      <xdr:spPr>
        <a:xfrm>
          <a:off x="21847969" y="9024937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16</xdr:row>
      <xdr:rowOff>11906</xdr:rowOff>
    </xdr:from>
    <xdr:to>
      <xdr:col>16</xdr:col>
      <xdr:colOff>773906</xdr:colOff>
      <xdr:row>17</xdr:row>
      <xdr:rowOff>0</xdr:rowOff>
    </xdr:to>
    <xdr:cxnSp macro="">
      <xdr:nvCxnSpPr>
        <xdr:cNvPr id="830" name="直線接點 829"/>
        <xdr:cNvCxnSpPr/>
      </xdr:nvCxnSpPr>
      <xdr:spPr>
        <a:xfrm>
          <a:off x="18692812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16</xdr:row>
      <xdr:rowOff>23812</xdr:rowOff>
    </xdr:from>
    <xdr:to>
      <xdr:col>18</xdr:col>
      <xdr:colOff>11906</xdr:colOff>
      <xdr:row>17</xdr:row>
      <xdr:rowOff>11906</xdr:rowOff>
    </xdr:to>
    <xdr:cxnSp macro="">
      <xdr:nvCxnSpPr>
        <xdr:cNvPr id="831" name="直線接點 830"/>
        <xdr:cNvCxnSpPr/>
      </xdr:nvCxnSpPr>
      <xdr:spPr>
        <a:xfrm>
          <a:off x="19490531" y="11108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16</xdr:row>
      <xdr:rowOff>0</xdr:rowOff>
    </xdr:from>
    <xdr:to>
      <xdr:col>19</xdr:col>
      <xdr:colOff>0</xdr:colOff>
      <xdr:row>16</xdr:row>
      <xdr:rowOff>666750</xdr:rowOff>
    </xdr:to>
    <xdr:cxnSp macro="">
      <xdr:nvCxnSpPr>
        <xdr:cNvPr id="832" name="直線接點 831"/>
        <xdr:cNvCxnSpPr/>
      </xdr:nvCxnSpPr>
      <xdr:spPr>
        <a:xfrm>
          <a:off x="21074062" y="110847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16</xdr:row>
      <xdr:rowOff>11906</xdr:rowOff>
    </xdr:from>
    <xdr:to>
      <xdr:col>12</xdr:col>
      <xdr:colOff>773906</xdr:colOff>
      <xdr:row>17</xdr:row>
      <xdr:rowOff>0</xdr:rowOff>
    </xdr:to>
    <xdr:cxnSp macro="">
      <xdr:nvCxnSpPr>
        <xdr:cNvPr id="833" name="直線接點 832"/>
        <xdr:cNvCxnSpPr/>
      </xdr:nvCxnSpPr>
      <xdr:spPr>
        <a:xfrm>
          <a:off x="14478000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16</xdr:row>
      <xdr:rowOff>23812</xdr:rowOff>
    </xdr:from>
    <xdr:to>
      <xdr:col>14</xdr:col>
      <xdr:colOff>11906</xdr:colOff>
      <xdr:row>17</xdr:row>
      <xdr:rowOff>11906</xdr:rowOff>
    </xdr:to>
    <xdr:cxnSp macro="">
      <xdr:nvCxnSpPr>
        <xdr:cNvPr id="834" name="直線接點 833"/>
        <xdr:cNvCxnSpPr/>
      </xdr:nvCxnSpPr>
      <xdr:spPr>
        <a:xfrm>
          <a:off x="15275719" y="111085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16</xdr:row>
      <xdr:rowOff>11906</xdr:rowOff>
    </xdr:from>
    <xdr:to>
      <xdr:col>14</xdr:col>
      <xdr:colOff>773906</xdr:colOff>
      <xdr:row>17</xdr:row>
      <xdr:rowOff>0</xdr:rowOff>
    </xdr:to>
    <xdr:cxnSp macro="">
      <xdr:nvCxnSpPr>
        <xdr:cNvPr id="835" name="直線接點 834"/>
        <xdr:cNvCxnSpPr/>
      </xdr:nvCxnSpPr>
      <xdr:spPr>
        <a:xfrm>
          <a:off x="16835437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16</xdr:row>
      <xdr:rowOff>11906</xdr:rowOff>
    </xdr:from>
    <xdr:to>
      <xdr:col>20</xdr:col>
      <xdr:colOff>0</xdr:colOff>
      <xdr:row>16</xdr:row>
      <xdr:rowOff>678656</xdr:rowOff>
    </xdr:to>
    <xdr:cxnSp macro="">
      <xdr:nvCxnSpPr>
        <xdr:cNvPr id="836" name="直線接點 835"/>
        <xdr:cNvCxnSpPr/>
      </xdr:nvCxnSpPr>
      <xdr:spPr>
        <a:xfrm>
          <a:off x="21847969" y="110966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16</xdr:row>
      <xdr:rowOff>11906</xdr:rowOff>
    </xdr:from>
    <xdr:to>
      <xdr:col>16</xdr:col>
      <xdr:colOff>0</xdr:colOff>
      <xdr:row>16</xdr:row>
      <xdr:rowOff>678656</xdr:rowOff>
    </xdr:to>
    <xdr:cxnSp macro="">
      <xdr:nvCxnSpPr>
        <xdr:cNvPr id="837" name="直線接點 836"/>
        <xdr:cNvCxnSpPr/>
      </xdr:nvCxnSpPr>
      <xdr:spPr>
        <a:xfrm>
          <a:off x="17621250" y="11096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18</xdr:row>
      <xdr:rowOff>11906</xdr:rowOff>
    </xdr:from>
    <xdr:to>
      <xdr:col>16</xdr:col>
      <xdr:colOff>773906</xdr:colOff>
      <xdr:row>19</xdr:row>
      <xdr:rowOff>0</xdr:rowOff>
    </xdr:to>
    <xdr:cxnSp macro="">
      <xdr:nvCxnSpPr>
        <xdr:cNvPr id="848" name="直線接點 847"/>
        <xdr:cNvCxnSpPr/>
      </xdr:nvCxnSpPr>
      <xdr:spPr>
        <a:xfrm>
          <a:off x="18692812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18</xdr:row>
      <xdr:rowOff>23812</xdr:rowOff>
    </xdr:from>
    <xdr:to>
      <xdr:col>18</xdr:col>
      <xdr:colOff>11906</xdr:colOff>
      <xdr:row>19</xdr:row>
      <xdr:rowOff>11906</xdr:rowOff>
    </xdr:to>
    <xdr:cxnSp macro="">
      <xdr:nvCxnSpPr>
        <xdr:cNvPr id="849" name="直線接點 848"/>
        <xdr:cNvCxnSpPr/>
      </xdr:nvCxnSpPr>
      <xdr:spPr>
        <a:xfrm>
          <a:off x="19490531" y="11108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18</xdr:row>
      <xdr:rowOff>0</xdr:rowOff>
    </xdr:from>
    <xdr:to>
      <xdr:col>19</xdr:col>
      <xdr:colOff>0</xdr:colOff>
      <xdr:row>18</xdr:row>
      <xdr:rowOff>666750</xdr:rowOff>
    </xdr:to>
    <xdr:cxnSp macro="">
      <xdr:nvCxnSpPr>
        <xdr:cNvPr id="850" name="直線接點 849"/>
        <xdr:cNvCxnSpPr/>
      </xdr:nvCxnSpPr>
      <xdr:spPr>
        <a:xfrm>
          <a:off x="21074062" y="11084719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18</xdr:row>
      <xdr:rowOff>11906</xdr:rowOff>
    </xdr:from>
    <xdr:to>
      <xdr:col>12</xdr:col>
      <xdr:colOff>773906</xdr:colOff>
      <xdr:row>19</xdr:row>
      <xdr:rowOff>0</xdr:rowOff>
    </xdr:to>
    <xdr:cxnSp macro="">
      <xdr:nvCxnSpPr>
        <xdr:cNvPr id="851" name="直線接點 850"/>
        <xdr:cNvCxnSpPr/>
      </xdr:nvCxnSpPr>
      <xdr:spPr>
        <a:xfrm>
          <a:off x="14478000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18</xdr:row>
      <xdr:rowOff>23812</xdr:rowOff>
    </xdr:from>
    <xdr:to>
      <xdr:col>14</xdr:col>
      <xdr:colOff>11906</xdr:colOff>
      <xdr:row>19</xdr:row>
      <xdr:rowOff>11906</xdr:rowOff>
    </xdr:to>
    <xdr:cxnSp macro="">
      <xdr:nvCxnSpPr>
        <xdr:cNvPr id="852" name="直線接點 851"/>
        <xdr:cNvCxnSpPr/>
      </xdr:nvCxnSpPr>
      <xdr:spPr>
        <a:xfrm>
          <a:off x="15275719" y="111085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18</xdr:row>
      <xdr:rowOff>11906</xdr:rowOff>
    </xdr:from>
    <xdr:to>
      <xdr:col>14</xdr:col>
      <xdr:colOff>773906</xdr:colOff>
      <xdr:row>19</xdr:row>
      <xdr:rowOff>0</xdr:rowOff>
    </xdr:to>
    <xdr:cxnSp macro="">
      <xdr:nvCxnSpPr>
        <xdr:cNvPr id="853" name="直線接點 852"/>
        <xdr:cNvCxnSpPr/>
      </xdr:nvCxnSpPr>
      <xdr:spPr>
        <a:xfrm>
          <a:off x="16835437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18</xdr:row>
      <xdr:rowOff>11906</xdr:rowOff>
    </xdr:from>
    <xdr:to>
      <xdr:col>20</xdr:col>
      <xdr:colOff>0</xdr:colOff>
      <xdr:row>18</xdr:row>
      <xdr:rowOff>678656</xdr:rowOff>
    </xdr:to>
    <xdr:cxnSp macro="">
      <xdr:nvCxnSpPr>
        <xdr:cNvPr id="854" name="直線接點 853"/>
        <xdr:cNvCxnSpPr/>
      </xdr:nvCxnSpPr>
      <xdr:spPr>
        <a:xfrm>
          <a:off x="21847969" y="110966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18</xdr:row>
      <xdr:rowOff>11906</xdr:rowOff>
    </xdr:from>
    <xdr:to>
      <xdr:col>16</xdr:col>
      <xdr:colOff>0</xdr:colOff>
      <xdr:row>18</xdr:row>
      <xdr:rowOff>678656</xdr:rowOff>
    </xdr:to>
    <xdr:cxnSp macro="">
      <xdr:nvCxnSpPr>
        <xdr:cNvPr id="855" name="直線接點 854"/>
        <xdr:cNvCxnSpPr/>
      </xdr:nvCxnSpPr>
      <xdr:spPr>
        <a:xfrm>
          <a:off x="17621250" y="11096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17</xdr:row>
      <xdr:rowOff>23812</xdr:rowOff>
    </xdr:from>
    <xdr:to>
      <xdr:col>18</xdr:col>
      <xdr:colOff>11906</xdr:colOff>
      <xdr:row>18</xdr:row>
      <xdr:rowOff>11906</xdr:rowOff>
    </xdr:to>
    <xdr:cxnSp macro="">
      <xdr:nvCxnSpPr>
        <xdr:cNvPr id="856" name="直線接點 855"/>
        <xdr:cNvCxnSpPr/>
      </xdr:nvCxnSpPr>
      <xdr:spPr>
        <a:xfrm>
          <a:off x="19490531" y="10417968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17</xdr:row>
      <xdr:rowOff>23812</xdr:rowOff>
    </xdr:from>
    <xdr:to>
      <xdr:col>14</xdr:col>
      <xdr:colOff>11906</xdr:colOff>
      <xdr:row>18</xdr:row>
      <xdr:rowOff>11906</xdr:rowOff>
    </xdr:to>
    <xdr:cxnSp macro="">
      <xdr:nvCxnSpPr>
        <xdr:cNvPr id="857" name="直線接點 856"/>
        <xdr:cNvCxnSpPr/>
      </xdr:nvCxnSpPr>
      <xdr:spPr>
        <a:xfrm>
          <a:off x="15275719" y="10417968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19</xdr:row>
      <xdr:rowOff>11906</xdr:rowOff>
    </xdr:from>
    <xdr:to>
      <xdr:col>16</xdr:col>
      <xdr:colOff>773906</xdr:colOff>
      <xdr:row>20</xdr:row>
      <xdr:rowOff>0</xdr:rowOff>
    </xdr:to>
    <xdr:cxnSp macro="">
      <xdr:nvCxnSpPr>
        <xdr:cNvPr id="870" name="直線接點 869"/>
        <xdr:cNvCxnSpPr/>
      </xdr:nvCxnSpPr>
      <xdr:spPr>
        <a:xfrm>
          <a:off x="18692812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19</xdr:row>
      <xdr:rowOff>23812</xdr:rowOff>
    </xdr:from>
    <xdr:to>
      <xdr:col>18</xdr:col>
      <xdr:colOff>11906</xdr:colOff>
      <xdr:row>20</xdr:row>
      <xdr:rowOff>11906</xdr:rowOff>
    </xdr:to>
    <xdr:cxnSp macro="">
      <xdr:nvCxnSpPr>
        <xdr:cNvPr id="871" name="直線接點 870"/>
        <xdr:cNvCxnSpPr/>
      </xdr:nvCxnSpPr>
      <xdr:spPr>
        <a:xfrm>
          <a:off x="19490531" y="1110853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19</xdr:row>
      <xdr:rowOff>0</xdr:rowOff>
    </xdr:from>
    <xdr:to>
      <xdr:col>19</xdr:col>
      <xdr:colOff>0</xdr:colOff>
      <xdr:row>20</xdr:row>
      <xdr:rowOff>11906</xdr:rowOff>
    </xdr:to>
    <xdr:cxnSp macro="">
      <xdr:nvCxnSpPr>
        <xdr:cNvPr id="872" name="直線接點 871"/>
        <xdr:cNvCxnSpPr/>
      </xdr:nvCxnSpPr>
      <xdr:spPr>
        <a:xfrm>
          <a:off x="21074062" y="12465844"/>
          <a:ext cx="773907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19</xdr:row>
      <xdr:rowOff>11906</xdr:rowOff>
    </xdr:from>
    <xdr:to>
      <xdr:col>12</xdr:col>
      <xdr:colOff>773906</xdr:colOff>
      <xdr:row>20</xdr:row>
      <xdr:rowOff>0</xdr:rowOff>
    </xdr:to>
    <xdr:cxnSp macro="">
      <xdr:nvCxnSpPr>
        <xdr:cNvPr id="873" name="直線接點 872"/>
        <xdr:cNvCxnSpPr/>
      </xdr:nvCxnSpPr>
      <xdr:spPr>
        <a:xfrm>
          <a:off x="14478000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19</xdr:row>
      <xdr:rowOff>23812</xdr:rowOff>
    </xdr:from>
    <xdr:to>
      <xdr:col>14</xdr:col>
      <xdr:colOff>11906</xdr:colOff>
      <xdr:row>20</xdr:row>
      <xdr:rowOff>11906</xdr:rowOff>
    </xdr:to>
    <xdr:cxnSp macro="">
      <xdr:nvCxnSpPr>
        <xdr:cNvPr id="874" name="直線接點 873"/>
        <xdr:cNvCxnSpPr/>
      </xdr:nvCxnSpPr>
      <xdr:spPr>
        <a:xfrm>
          <a:off x="15275719" y="111085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19</xdr:row>
      <xdr:rowOff>11906</xdr:rowOff>
    </xdr:from>
    <xdr:to>
      <xdr:col>14</xdr:col>
      <xdr:colOff>773906</xdr:colOff>
      <xdr:row>20</xdr:row>
      <xdr:rowOff>0</xdr:rowOff>
    </xdr:to>
    <xdr:cxnSp macro="">
      <xdr:nvCxnSpPr>
        <xdr:cNvPr id="875" name="直線接點 874"/>
        <xdr:cNvCxnSpPr/>
      </xdr:nvCxnSpPr>
      <xdr:spPr>
        <a:xfrm>
          <a:off x="16835437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19</xdr:row>
      <xdr:rowOff>11906</xdr:rowOff>
    </xdr:from>
    <xdr:to>
      <xdr:col>20</xdr:col>
      <xdr:colOff>0</xdr:colOff>
      <xdr:row>19</xdr:row>
      <xdr:rowOff>678656</xdr:rowOff>
    </xdr:to>
    <xdr:cxnSp macro="">
      <xdr:nvCxnSpPr>
        <xdr:cNvPr id="876" name="直線接點 875"/>
        <xdr:cNvCxnSpPr/>
      </xdr:nvCxnSpPr>
      <xdr:spPr>
        <a:xfrm>
          <a:off x="21847969" y="11096625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19</xdr:row>
      <xdr:rowOff>11906</xdr:rowOff>
    </xdr:from>
    <xdr:to>
      <xdr:col>16</xdr:col>
      <xdr:colOff>0</xdr:colOff>
      <xdr:row>19</xdr:row>
      <xdr:rowOff>678656</xdr:rowOff>
    </xdr:to>
    <xdr:cxnSp macro="">
      <xdr:nvCxnSpPr>
        <xdr:cNvPr id="877" name="直線接點 876"/>
        <xdr:cNvCxnSpPr/>
      </xdr:nvCxnSpPr>
      <xdr:spPr>
        <a:xfrm>
          <a:off x="17621250" y="11096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18</xdr:row>
      <xdr:rowOff>23812</xdr:rowOff>
    </xdr:from>
    <xdr:to>
      <xdr:col>18</xdr:col>
      <xdr:colOff>11906</xdr:colOff>
      <xdr:row>19</xdr:row>
      <xdr:rowOff>11906</xdr:rowOff>
    </xdr:to>
    <xdr:cxnSp macro="">
      <xdr:nvCxnSpPr>
        <xdr:cNvPr id="878" name="直線接點 877"/>
        <xdr:cNvCxnSpPr/>
      </xdr:nvCxnSpPr>
      <xdr:spPr>
        <a:xfrm>
          <a:off x="19490531" y="10417968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18</xdr:row>
      <xdr:rowOff>23812</xdr:rowOff>
    </xdr:from>
    <xdr:to>
      <xdr:col>14</xdr:col>
      <xdr:colOff>11906</xdr:colOff>
      <xdr:row>19</xdr:row>
      <xdr:rowOff>11906</xdr:rowOff>
    </xdr:to>
    <xdr:cxnSp macro="">
      <xdr:nvCxnSpPr>
        <xdr:cNvPr id="879" name="直線接點 878"/>
        <xdr:cNvCxnSpPr/>
      </xdr:nvCxnSpPr>
      <xdr:spPr>
        <a:xfrm>
          <a:off x="15275719" y="10417968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20</xdr:row>
      <xdr:rowOff>11906</xdr:rowOff>
    </xdr:from>
    <xdr:to>
      <xdr:col>16</xdr:col>
      <xdr:colOff>773906</xdr:colOff>
      <xdr:row>21</xdr:row>
      <xdr:rowOff>0</xdr:rowOff>
    </xdr:to>
    <xdr:cxnSp macro="">
      <xdr:nvCxnSpPr>
        <xdr:cNvPr id="894" name="直線接點 893"/>
        <xdr:cNvCxnSpPr/>
      </xdr:nvCxnSpPr>
      <xdr:spPr>
        <a:xfrm>
          <a:off x="18692812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20</xdr:row>
      <xdr:rowOff>11906</xdr:rowOff>
    </xdr:from>
    <xdr:to>
      <xdr:col>18</xdr:col>
      <xdr:colOff>11906</xdr:colOff>
      <xdr:row>21</xdr:row>
      <xdr:rowOff>11906</xdr:rowOff>
    </xdr:to>
    <xdr:cxnSp macro="">
      <xdr:nvCxnSpPr>
        <xdr:cNvPr id="895" name="直線接點 894"/>
        <xdr:cNvCxnSpPr/>
      </xdr:nvCxnSpPr>
      <xdr:spPr>
        <a:xfrm>
          <a:off x="19466719" y="13168312"/>
          <a:ext cx="1595437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</xdr:row>
      <xdr:rowOff>11906</xdr:rowOff>
    </xdr:from>
    <xdr:to>
      <xdr:col>19</xdr:col>
      <xdr:colOff>0</xdr:colOff>
      <xdr:row>20</xdr:row>
      <xdr:rowOff>666750</xdr:rowOff>
    </xdr:to>
    <xdr:cxnSp macro="">
      <xdr:nvCxnSpPr>
        <xdr:cNvPr id="896" name="直線接點 895"/>
        <xdr:cNvCxnSpPr/>
      </xdr:nvCxnSpPr>
      <xdr:spPr>
        <a:xfrm>
          <a:off x="21050250" y="13168312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20</xdr:row>
      <xdr:rowOff>11906</xdr:rowOff>
    </xdr:from>
    <xdr:to>
      <xdr:col>12</xdr:col>
      <xdr:colOff>773906</xdr:colOff>
      <xdr:row>21</xdr:row>
      <xdr:rowOff>0</xdr:rowOff>
    </xdr:to>
    <xdr:cxnSp macro="">
      <xdr:nvCxnSpPr>
        <xdr:cNvPr id="897" name="直線接點 896"/>
        <xdr:cNvCxnSpPr/>
      </xdr:nvCxnSpPr>
      <xdr:spPr>
        <a:xfrm>
          <a:off x="14478000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-1</xdr:colOff>
      <xdr:row>20</xdr:row>
      <xdr:rowOff>11906</xdr:rowOff>
    </xdr:from>
    <xdr:to>
      <xdr:col>14</xdr:col>
      <xdr:colOff>11906</xdr:colOff>
      <xdr:row>21</xdr:row>
      <xdr:rowOff>11906</xdr:rowOff>
    </xdr:to>
    <xdr:cxnSp macro="">
      <xdr:nvCxnSpPr>
        <xdr:cNvPr id="898" name="直線接點 897"/>
        <xdr:cNvCxnSpPr/>
      </xdr:nvCxnSpPr>
      <xdr:spPr>
        <a:xfrm>
          <a:off x="15263812" y="13168312"/>
          <a:ext cx="1571625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20</xdr:row>
      <xdr:rowOff>11906</xdr:rowOff>
    </xdr:from>
    <xdr:to>
      <xdr:col>14</xdr:col>
      <xdr:colOff>773906</xdr:colOff>
      <xdr:row>21</xdr:row>
      <xdr:rowOff>0</xdr:rowOff>
    </xdr:to>
    <xdr:cxnSp macro="">
      <xdr:nvCxnSpPr>
        <xdr:cNvPr id="899" name="直線接點 898"/>
        <xdr:cNvCxnSpPr/>
      </xdr:nvCxnSpPr>
      <xdr:spPr>
        <a:xfrm>
          <a:off x="16835437" y="110966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11906</xdr:colOff>
      <xdr:row>20</xdr:row>
      <xdr:rowOff>11906</xdr:rowOff>
    </xdr:from>
    <xdr:to>
      <xdr:col>20</xdr:col>
      <xdr:colOff>0</xdr:colOff>
      <xdr:row>20</xdr:row>
      <xdr:rowOff>678656</xdr:rowOff>
    </xdr:to>
    <xdr:cxnSp macro="">
      <xdr:nvCxnSpPr>
        <xdr:cNvPr id="900" name="直線接點 899"/>
        <xdr:cNvCxnSpPr/>
      </xdr:nvCxnSpPr>
      <xdr:spPr>
        <a:xfrm>
          <a:off x="21859875" y="13168312"/>
          <a:ext cx="952500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20</xdr:row>
      <xdr:rowOff>11906</xdr:rowOff>
    </xdr:from>
    <xdr:to>
      <xdr:col>16</xdr:col>
      <xdr:colOff>0</xdr:colOff>
      <xdr:row>20</xdr:row>
      <xdr:rowOff>678656</xdr:rowOff>
    </xdr:to>
    <xdr:cxnSp macro="">
      <xdr:nvCxnSpPr>
        <xdr:cNvPr id="901" name="直線接點 900"/>
        <xdr:cNvCxnSpPr/>
      </xdr:nvCxnSpPr>
      <xdr:spPr>
        <a:xfrm>
          <a:off x="17621250" y="110966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21</xdr:row>
      <xdr:rowOff>11906</xdr:rowOff>
    </xdr:from>
    <xdr:to>
      <xdr:col>16</xdr:col>
      <xdr:colOff>773906</xdr:colOff>
      <xdr:row>22</xdr:row>
      <xdr:rowOff>0</xdr:rowOff>
    </xdr:to>
    <xdr:cxnSp macro="">
      <xdr:nvCxnSpPr>
        <xdr:cNvPr id="997" name="直線接點 996"/>
        <xdr:cNvCxnSpPr/>
      </xdr:nvCxnSpPr>
      <xdr:spPr>
        <a:xfrm>
          <a:off x="18692812" y="131683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21</xdr:row>
      <xdr:rowOff>11906</xdr:rowOff>
    </xdr:from>
    <xdr:to>
      <xdr:col>18</xdr:col>
      <xdr:colOff>11906</xdr:colOff>
      <xdr:row>22</xdr:row>
      <xdr:rowOff>11906</xdr:rowOff>
    </xdr:to>
    <xdr:cxnSp macro="">
      <xdr:nvCxnSpPr>
        <xdr:cNvPr id="998" name="直線接點 997"/>
        <xdr:cNvCxnSpPr/>
      </xdr:nvCxnSpPr>
      <xdr:spPr>
        <a:xfrm>
          <a:off x="19466719" y="13168312"/>
          <a:ext cx="1595437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</xdr:row>
      <xdr:rowOff>11906</xdr:rowOff>
    </xdr:from>
    <xdr:to>
      <xdr:col>19</xdr:col>
      <xdr:colOff>0</xdr:colOff>
      <xdr:row>21</xdr:row>
      <xdr:rowOff>666750</xdr:rowOff>
    </xdr:to>
    <xdr:cxnSp macro="">
      <xdr:nvCxnSpPr>
        <xdr:cNvPr id="999" name="直線接點 998"/>
        <xdr:cNvCxnSpPr/>
      </xdr:nvCxnSpPr>
      <xdr:spPr>
        <a:xfrm>
          <a:off x="21050250" y="13168312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11906</xdr:colOff>
      <xdr:row>21</xdr:row>
      <xdr:rowOff>11906</xdr:rowOff>
    </xdr:from>
    <xdr:to>
      <xdr:col>20</xdr:col>
      <xdr:colOff>0</xdr:colOff>
      <xdr:row>21</xdr:row>
      <xdr:rowOff>678656</xdr:rowOff>
    </xdr:to>
    <xdr:cxnSp macro="">
      <xdr:nvCxnSpPr>
        <xdr:cNvPr id="1000" name="直線接點 999"/>
        <xdr:cNvCxnSpPr/>
      </xdr:nvCxnSpPr>
      <xdr:spPr>
        <a:xfrm>
          <a:off x="21859875" y="13168312"/>
          <a:ext cx="952500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</xdr:row>
      <xdr:rowOff>11906</xdr:rowOff>
    </xdr:from>
    <xdr:to>
      <xdr:col>16</xdr:col>
      <xdr:colOff>0</xdr:colOff>
      <xdr:row>21</xdr:row>
      <xdr:rowOff>678656</xdr:rowOff>
    </xdr:to>
    <xdr:cxnSp macro="">
      <xdr:nvCxnSpPr>
        <xdr:cNvPr id="1001" name="直線接點 1000"/>
        <xdr:cNvCxnSpPr/>
      </xdr:nvCxnSpPr>
      <xdr:spPr>
        <a:xfrm>
          <a:off x="17621250" y="13168312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25</xdr:row>
      <xdr:rowOff>11906</xdr:rowOff>
    </xdr:from>
    <xdr:to>
      <xdr:col>16</xdr:col>
      <xdr:colOff>773906</xdr:colOff>
      <xdr:row>26</xdr:row>
      <xdr:rowOff>0</xdr:rowOff>
    </xdr:to>
    <xdr:cxnSp macro="">
      <xdr:nvCxnSpPr>
        <xdr:cNvPr id="1006" name="直線接點 1005"/>
        <xdr:cNvCxnSpPr/>
      </xdr:nvCxnSpPr>
      <xdr:spPr>
        <a:xfrm>
          <a:off x="18692812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25</xdr:row>
      <xdr:rowOff>23812</xdr:rowOff>
    </xdr:from>
    <xdr:to>
      <xdr:col>18</xdr:col>
      <xdr:colOff>11906</xdr:colOff>
      <xdr:row>26</xdr:row>
      <xdr:rowOff>11906</xdr:rowOff>
    </xdr:to>
    <xdr:cxnSp macro="">
      <xdr:nvCxnSpPr>
        <xdr:cNvPr id="1007" name="直線接點 1006"/>
        <xdr:cNvCxnSpPr/>
      </xdr:nvCxnSpPr>
      <xdr:spPr>
        <a:xfrm>
          <a:off x="19490531" y="1732359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25</xdr:row>
      <xdr:rowOff>0</xdr:rowOff>
    </xdr:from>
    <xdr:to>
      <xdr:col>19</xdr:col>
      <xdr:colOff>0</xdr:colOff>
      <xdr:row>25</xdr:row>
      <xdr:rowOff>666750</xdr:rowOff>
    </xdr:to>
    <xdr:cxnSp macro="">
      <xdr:nvCxnSpPr>
        <xdr:cNvPr id="1008" name="直線接點 1007"/>
        <xdr:cNvCxnSpPr/>
      </xdr:nvCxnSpPr>
      <xdr:spPr>
        <a:xfrm>
          <a:off x="21074062" y="17299781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25</xdr:row>
      <xdr:rowOff>11906</xdr:rowOff>
    </xdr:from>
    <xdr:to>
      <xdr:col>20</xdr:col>
      <xdr:colOff>0</xdr:colOff>
      <xdr:row>25</xdr:row>
      <xdr:rowOff>678656</xdr:rowOff>
    </xdr:to>
    <xdr:cxnSp macro="">
      <xdr:nvCxnSpPr>
        <xdr:cNvPr id="1009" name="直線接點 1008"/>
        <xdr:cNvCxnSpPr/>
      </xdr:nvCxnSpPr>
      <xdr:spPr>
        <a:xfrm>
          <a:off x="21847969" y="17311687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21</xdr:row>
      <xdr:rowOff>23812</xdr:rowOff>
    </xdr:from>
    <xdr:to>
      <xdr:col>18</xdr:col>
      <xdr:colOff>11906</xdr:colOff>
      <xdr:row>22</xdr:row>
      <xdr:rowOff>11906</xdr:rowOff>
    </xdr:to>
    <xdr:cxnSp macro="">
      <xdr:nvCxnSpPr>
        <xdr:cNvPr id="1021" name="直線接點 1020"/>
        <xdr:cNvCxnSpPr/>
      </xdr:nvCxnSpPr>
      <xdr:spPr>
        <a:xfrm>
          <a:off x="19490531" y="12489656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21</xdr:row>
      <xdr:rowOff>23812</xdr:rowOff>
    </xdr:from>
    <xdr:to>
      <xdr:col>14</xdr:col>
      <xdr:colOff>11906</xdr:colOff>
      <xdr:row>22</xdr:row>
      <xdr:rowOff>11906</xdr:rowOff>
    </xdr:to>
    <xdr:cxnSp macro="">
      <xdr:nvCxnSpPr>
        <xdr:cNvPr id="1023" name="直線接點 1022"/>
        <xdr:cNvCxnSpPr/>
      </xdr:nvCxnSpPr>
      <xdr:spPr>
        <a:xfrm>
          <a:off x="15275719" y="12489656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22</xdr:row>
      <xdr:rowOff>11906</xdr:rowOff>
    </xdr:from>
    <xdr:to>
      <xdr:col>16</xdr:col>
      <xdr:colOff>773906</xdr:colOff>
      <xdr:row>23</xdr:row>
      <xdr:rowOff>0</xdr:rowOff>
    </xdr:to>
    <xdr:cxnSp macro="">
      <xdr:nvCxnSpPr>
        <xdr:cNvPr id="1024" name="直線接點 1023"/>
        <xdr:cNvCxnSpPr/>
      </xdr:nvCxnSpPr>
      <xdr:spPr>
        <a:xfrm>
          <a:off x="18692812" y="131683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22</xdr:row>
      <xdr:rowOff>11906</xdr:rowOff>
    </xdr:from>
    <xdr:to>
      <xdr:col>18</xdr:col>
      <xdr:colOff>11906</xdr:colOff>
      <xdr:row>23</xdr:row>
      <xdr:rowOff>11906</xdr:rowOff>
    </xdr:to>
    <xdr:cxnSp macro="">
      <xdr:nvCxnSpPr>
        <xdr:cNvPr id="1025" name="直線接點 1024"/>
        <xdr:cNvCxnSpPr/>
      </xdr:nvCxnSpPr>
      <xdr:spPr>
        <a:xfrm>
          <a:off x="19466719" y="13168312"/>
          <a:ext cx="1595437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</xdr:row>
      <xdr:rowOff>11906</xdr:rowOff>
    </xdr:from>
    <xdr:to>
      <xdr:col>19</xdr:col>
      <xdr:colOff>0</xdr:colOff>
      <xdr:row>22</xdr:row>
      <xdr:rowOff>666750</xdr:rowOff>
    </xdr:to>
    <xdr:cxnSp macro="">
      <xdr:nvCxnSpPr>
        <xdr:cNvPr id="1026" name="直線接點 1025"/>
        <xdr:cNvCxnSpPr/>
      </xdr:nvCxnSpPr>
      <xdr:spPr>
        <a:xfrm>
          <a:off x="21050250" y="13168312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22</xdr:row>
      <xdr:rowOff>11906</xdr:rowOff>
    </xdr:from>
    <xdr:to>
      <xdr:col>12</xdr:col>
      <xdr:colOff>773906</xdr:colOff>
      <xdr:row>23</xdr:row>
      <xdr:rowOff>0</xdr:rowOff>
    </xdr:to>
    <xdr:cxnSp macro="">
      <xdr:nvCxnSpPr>
        <xdr:cNvPr id="1027" name="直線接點 1026"/>
        <xdr:cNvCxnSpPr/>
      </xdr:nvCxnSpPr>
      <xdr:spPr>
        <a:xfrm>
          <a:off x="14478000" y="131683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-1</xdr:colOff>
      <xdr:row>22</xdr:row>
      <xdr:rowOff>11906</xdr:rowOff>
    </xdr:from>
    <xdr:to>
      <xdr:col>14</xdr:col>
      <xdr:colOff>11906</xdr:colOff>
      <xdr:row>23</xdr:row>
      <xdr:rowOff>11906</xdr:rowOff>
    </xdr:to>
    <xdr:cxnSp macro="">
      <xdr:nvCxnSpPr>
        <xdr:cNvPr id="1028" name="直線接點 1027"/>
        <xdr:cNvCxnSpPr/>
      </xdr:nvCxnSpPr>
      <xdr:spPr>
        <a:xfrm>
          <a:off x="15263812" y="13168312"/>
          <a:ext cx="1571625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22</xdr:row>
      <xdr:rowOff>11906</xdr:rowOff>
    </xdr:from>
    <xdr:to>
      <xdr:col>14</xdr:col>
      <xdr:colOff>773906</xdr:colOff>
      <xdr:row>23</xdr:row>
      <xdr:rowOff>0</xdr:rowOff>
    </xdr:to>
    <xdr:cxnSp macro="">
      <xdr:nvCxnSpPr>
        <xdr:cNvPr id="1029" name="直線接點 1028"/>
        <xdr:cNvCxnSpPr/>
      </xdr:nvCxnSpPr>
      <xdr:spPr>
        <a:xfrm>
          <a:off x="16835437" y="131683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11906</xdr:colOff>
      <xdr:row>22</xdr:row>
      <xdr:rowOff>11906</xdr:rowOff>
    </xdr:from>
    <xdr:to>
      <xdr:col>20</xdr:col>
      <xdr:colOff>0</xdr:colOff>
      <xdr:row>22</xdr:row>
      <xdr:rowOff>678656</xdr:rowOff>
    </xdr:to>
    <xdr:cxnSp macro="">
      <xdr:nvCxnSpPr>
        <xdr:cNvPr id="1030" name="直線接點 1029"/>
        <xdr:cNvCxnSpPr/>
      </xdr:nvCxnSpPr>
      <xdr:spPr>
        <a:xfrm>
          <a:off x="21859875" y="13168312"/>
          <a:ext cx="952500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22</xdr:row>
      <xdr:rowOff>11906</xdr:rowOff>
    </xdr:from>
    <xdr:to>
      <xdr:col>16</xdr:col>
      <xdr:colOff>0</xdr:colOff>
      <xdr:row>22</xdr:row>
      <xdr:rowOff>678656</xdr:rowOff>
    </xdr:to>
    <xdr:cxnSp macro="">
      <xdr:nvCxnSpPr>
        <xdr:cNvPr id="1031" name="直線接點 1030"/>
        <xdr:cNvCxnSpPr/>
      </xdr:nvCxnSpPr>
      <xdr:spPr>
        <a:xfrm>
          <a:off x="17621250" y="13168312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22</xdr:row>
      <xdr:rowOff>23812</xdr:rowOff>
    </xdr:from>
    <xdr:to>
      <xdr:col>18</xdr:col>
      <xdr:colOff>11906</xdr:colOff>
      <xdr:row>23</xdr:row>
      <xdr:rowOff>11906</xdr:rowOff>
    </xdr:to>
    <xdr:cxnSp macro="">
      <xdr:nvCxnSpPr>
        <xdr:cNvPr id="1043" name="直線接點 1042"/>
        <xdr:cNvCxnSpPr/>
      </xdr:nvCxnSpPr>
      <xdr:spPr>
        <a:xfrm>
          <a:off x="19490531" y="12489656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22</xdr:row>
      <xdr:rowOff>23812</xdr:rowOff>
    </xdr:from>
    <xdr:to>
      <xdr:col>14</xdr:col>
      <xdr:colOff>11906</xdr:colOff>
      <xdr:row>23</xdr:row>
      <xdr:rowOff>11906</xdr:rowOff>
    </xdr:to>
    <xdr:cxnSp macro="">
      <xdr:nvCxnSpPr>
        <xdr:cNvPr id="1045" name="直線接點 1044"/>
        <xdr:cNvCxnSpPr/>
      </xdr:nvCxnSpPr>
      <xdr:spPr>
        <a:xfrm>
          <a:off x="15275719" y="12489656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23</xdr:row>
      <xdr:rowOff>11906</xdr:rowOff>
    </xdr:from>
    <xdr:to>
      <xdr:col>16</xdr:col>
      <xdr:colOff>773906</xdr:colOff>
      <xdr:row>24</xdr:row>
      <xdr:rowOff>0</xdr:rowOff>
    </xdr:to>
    <xdr:cxnSp macro="">
      <xdr:nvCxnSpPr>
        <xdr:cNvPr id="1046" name="直線接點 1045"/>
        <xdr:cNvCxnSpPr/>
      </xdr:nvCxnSpPr>
      <xdr:spPr>
        <a:xfrm>
          <a:off x="18692812" y="131683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23</xdr:row>
      <xdr:rowOff>11906</xdr:rowOff>
    </xdr:from>
    <xdr:to>
      <xdr:col>18</xdr:col>
      <xdr:colOff>11906</xdr:colOff>
      <xdr:row>24</xdr:row>
      <xdr:rowOff>11906</xdr:rowOff>
    </xdr:to>
    <xdr:cxnSp macro="">
      <xdr:nvCxnSpPr>
        <xdr:cNvPr id="1047" name="直線接點 1046"/>
        <xdr:cNvCxnSpPr/>
      </xdr:nvCxnSpPr>
      <xdr:spPr>
        <a:xfrm>
          <a:off x="19466719" y="13168312"/>
          <a:ext cx="1595437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23</xdr:row>
      <xdr:rowOff>11906</xdr:rowOff>
    </xdr:from>
    <xdr:to>
      <xdr:col>19</xdr:col>
      <xdr:colOff>0</xdr:colOff>
      <xdr:row>23</xdr:row>
      <xdr:rowOff>666750</xdr:rowOff>
    </xdr:to>
    <xdr:cxnSp macro="">
      <xdr:nvCxnSpPr>
        <xdr:cNvPr id="1048" name="直線接點 1047"/>
        <xdr:cNvCxnSpPr/>
      </xdr:nvCxnSpPr>
      <xdr:spPr>
        <a:xfrm>
          <a:off x="21050250" y="13168312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23</xdr:row>
      <xdr:rowOff>11906</xdr:rowOff>
    </xdr:from>
    <xdr:to>
      <xdr:col>12</xdr:col>
      <xdr:colOff>773906</xdr:colOff>
      <xdr:row>24</xdr:row>
      <xdr:rowOff>0</xdr:rowOff>
    </xdr:to>
    <xdr:cxnSp macro="">
      <xdr:nvCxnSpPr>
        <xdr:cNvPr id="1049" name="直線接點 1048"/>
        <xdr:cNvCxnSpPr/>
      </xdr:nvCxnSpPr>
      <xdr:spPr>
        <a:xfrm>
          <a:off x="14478000" y="131683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-1</xdr:colOff>
      <xdr:row>23</xdr:row>
      <xdr:rowOff>11906</xdr:rowOff>
    </xdr:from>
    <xdr:to>
      <xdr:col>14</xdr:col>
      <xdr:colOff>11906</xdr:colOff>
      <xdr:row>24</xdr:row>
      <xdr:rowOff>11906</xdr:rowOff>
    </xdr:to>
    <xdr:cxnSp macro="">
      <xdr:nvCxnSpPr>
        <xdr:cNvPr id="1050" name="直線接點 1049"/>
        <xdr:cNvCxnSpPr/>
      </xdr:nvCxnSpPr>
      <xdr:spPr>
        <a:xfrm>
          <a:off x="15263812" y="13168312"/>
          <a:ext cx="1571625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23</xdr:row>
      <xdr:rowOff>11906</xdr:rowOff>
    </xdr:from>
    <xdr:to>
      <xdr:col>14</xdr:col>
      <xdr:colOff>773906</xdr:colOff>
      <xdr:row>24</xdr:row>
      <xdr:rowOff>0</xdr:rowOff>
    </xdr:to>
    <xdr:cxnSp macro="">
      <xdr:nvCxnSpPr>
        <xdr:cNvPr id="1051" name="直線接點 1050"/>
        <xdr:cNvCxnSpPr/>
      </xdr:nvCxnSpPr>
      <xdr:spPr>
        <a:xfrm>
          <a:off x="16835437" y="13168312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797718</xdr:colOff>
      <xdr:row>23</xdr:row>
      <xdr:rowOff>11906</xdr:rowOff>
    </xdr:from>
    <xdr:to>
      <xdr:col>19</xdr:col>
      <xdr:colOff>952499</xdr:colOff>
      <xdr:row>23</xdr:row>
      <xdr:rowOff>678656</xdr:rowOff>
    </xdr:to>
    <xdr:cxnSp macro="">
      <xdr:nvCxnSpPr>
        <xdr:cNvPr id="1052" name="直線接點 1051"/>
        <xdr:cNvCxnSpPr/>
      </xdr:nvCxnSpPr>
      <xdr:spPr>
        <a:xfrm>
          <a:off x="21847968" y="15240000"/>
          <a:ext cx="952500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23</xdr:row>
      <xdr:rowOff>11906</xdr:rowOff>
    </xdr:from>
    <xdr:to>
      <xdr:col>16</xdr:col>
      <xdr:colOff>0</xdr:colOff>
      <xdr:row>23</xdr:row>
      <xdr:rowOff>678656</xdr:rowOff>
    </xdr:to>
    <xdr:cxnSp macro="">
      <xdr:nvCxnSpPr>
        <xdr:cNvPr id="1053" name="直線接點 1052"/>
        <xdr:cNvCxnSpPr/>
      </xdr:nvCxnSpPr>
      <xdr:spPr>
        <a:xfrm>
          <a:off x="17621250" y="13168312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23</xdr:row>
      <xdr:rowOff>11906</xdr:rowOff>
    </xdr:from>
    <xdr:to>
      <xdr:col>18</xdr:col>
      <xdr:colOff>11906</xdr:colOff>
      <xdr:row>24</xdr:row>
      <xdr:rowOff>11906</xdr:rowOff>
    </xdr:to>
    <xdr:cxnSp macro="">
      <xdr:nvCxnSpPr>
        <xdr:cNvPr id="1066" name="直線接點 1065"/>
        <xdr:cNvCxnSpPr/>
      </xdr:nvCxnSpPr>
      <xdr:spPr>
        <a:xfrm>
          <a:off x="19466719" y="14549437"/>
          <a:ext cx="1595437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-1</xdr:colOff>
      <xdr:row>23</xdr:row>
      <xdr:rowOff>11906</xdr:rowOff>
    </xdr:from>
    <xdr:to>
      <xdr:col>14</xdr:col>
      <xdr:colOff>11906</xdr:colOff>
      <xdr:row>24</xdr:row>
      <xdr:rowOff>11906</xdr:rowOff>
    </xdr:to>
    <xdr:cxnSp macro="">
      <xdr:nvCxnSpPr>
        <xdr:cNvPr id="1067" name="直線接點 1066"/>
        <xdr:cNvCxnSpPr/>
      </xdr:nvCxnSpPr>
      <xdr:spPr>
        <a:xfrm>
          <a:off x="15263812" y="14549437"/>
          <a:ext cx="1571625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23</xdr:row>
      <xdr:rowOff>23812</xdr:rowOff>
    </xdr:from>
    <xdr:to>
      <xdr:col>18</xdr:col>
      <xdr:colOff>11906</xdr:colOff>
      <xdr:row>24</xdr:row>
      <xdr:rowOff>11906</xdr:rowOff>
    </xdr:to>
    <xdr:cxnSp macro="">
      <xdr:nvCxnSpPr>
        <xdr:cNvPr id="1068" name="直線接點 1067"/>
        <xdr:cNvCxnSpPr/>
      </xdr:nvCxnSpPr>
      <xdr:spPr>
        <a:xfrm>
          <a:off x="19490531" y="1456134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23</xdr:row>
      <xdr:rowOff>23812</xdr:rowOff>
    </xdr:from>
    <xdr:to>
      <xdr:col>14</xdr:col>
      <xdr:colOff>11906</xdr:colOff>
      <xdr:row>24</xdr:row>
      <xdr:rowOff>11906</xdr:rowOff>
    </xdr:to>
    <xdr:cxnSp macro="">
      <xdr:nvCxnSpPr>
        <xdr:cNvPr id="1069" name="直線接點 1068"/>
        <xdr:cNvCxnSpPr/>
      </xdr:nvCxnSpPr>
      <xdr:spPr>
        <a:xfrm>
          <a:off x="15275719" y="1456134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24</xdr:row>
      <xdr:rowOff>11906</xdr:rowOff>
    </xdr:from>
    <xdr:to>
      <xdr:col>16</xdr:col>
      <xdr:colOff>773906</xdr:colOff>
      <xdr:row>25</xdr:row>
      <xdr:rowOff>0</xdr:rowOff>
    </xdr:to>
    <xdr:cxnSp macro="">
      <xdr:nvCxnSpPr>
        <xdr:cNvPr id="1070" name="直線接點 1069"/>
        <xdr:cNvCxnSpPr/>
      </xdr:nvCxnSpPr>
      <xdr:spPr>
        <a:xfrm>
          <a:off x="18692812" y="15240000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24</xdr:row>
      <xdr:rowOff>11906</xdr:rowOff>
    </xdr:from>
    <xdr:to>
      <xdr:col>18</xdr:col>
      <xdr:colOff>11906</xdr:colOff>
      <xdr:row>25</xdr:row>
      <xdr:rowOff>11906</xdr:rowOff>
    </xdr:to>
    <xdr:cxnSp macro="">
      <xdr:nvCxnSpPr>
        <xdr:cNvPr id="1071" name="直線接點 1070"/>
        <xdr:cNvCxnSpPr/>
      </xdr:nvCxnSpPr>
      <xdr:spPr>
        <a:xfrm>
          <a:off x="19466719" y="15240000"/>
          <a:ext cx="1595437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24</xdr:row>
      <xdr:rowOff>11906</xdr:rowOff>
    </xdr:from>
    <xdr:to>
      <xdr:col>19</xdr:col>
      <xdr:colOff>0</xdr:colOff>
      <xdr:row>24</xdr:row>
      <xdr:rowOff>666750</xdr:rowOff>
    </xdr:to>
    <xdr:cxnSp macro="">
      <xdr:nvCxnSpPr>
        <xdr:cNvPr id="1072" name="直線接點 1071"/>
        <xdr:cNvCxnSpPr/>
      </xdr:nvCxnSpPr>
      <xdr:spPr>
        <a:xfrm>
          <a:off x="21050250" y="15240000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24</xdr:row>
      <xdr:rowOff>11906</xdr:rowOff>
    </xdr:from>
    <xdr:to>
      <xdr:col>12</xdr:col>
      <xdr:colOff>773906</xdr:colOff>
      <xdr:row>25</xdr:row>
      <xdr:rowOff>0</xdr:rowOff>
    </xdr:to>
    <xdr:cxnSp macro="">
      <xdr:nvCxnSpPr>
        <xdr:cNvPr id="1073" name="直線接點 1072"/>
        <xdr:cNvCxnSpPr/>
      </xdr:nvCxnSpPr>
      <xdr:spPr>
        <a:xfrm>
          <a:off x="14478000" y="15240000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-1</xdr:colOff>
      <xdr:row>24</xdr:row>
      <xdr:rowOff>11906</xdr:rowOff>
    </xdr:from>
    <xdr:to>
      <xdr:col>14</xdr:col>
      <xdr:colOff>11906</xdr:colOff>
      <xdr:row>25</xdr:row>
      <xdr:rowOff>11906</xdr:rowOff>
    </xdr:to>
    <xdr:cxnSp macro="">
      <xdr:nvCxnSpPr>
        <xdr:cNvPr id="1074" name="直線接點 1073"/>
        <xdr:cNvCxnSpPr/>
      </xdr:nvCxnSpPr>
      <xdr:spPr>
        <a:xfrm>
          <a:off x="15263812" y="15240000"/>
          <a:ext cx="1571625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24</xdr:row>
      <xdr:rowOff>11906</xdr:rowOff>
    </xdr:from>
    <xdr:to>
      <xdr:col>14</xdr:col>
      <xdr:colOff>773906</xdr:colOff>
      <xdr:row>25</xdr:row>
      <xdr:rowOff>0</xdr:rowOff>
    </xdr:to>
    <xdr:cxnSp macro="">
      <xdr:nvCxnSpPr>
        <xdr:cNvPr id="1075" name="直線接點 1074"/>
        <xdr:cNvCxnSpPr/>
      </xdr:nvCxnSpPr>
      <xdr:spPr>
        <a:xfrm>
          <a:off x="16835437" y="15240000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797718</xdr:colOff>
      <xdr:row>24</xdr:row>
      <xdr:rowOff>11906</xdr:rowOff>
    </xdr:from>
    <xdr:to>
      <xdr:col>19</xdr:col>
      <xdr:colOff>952499</xdr:colOff>
      <xdr:row>24</xdr:row>
      <xdr:rowOff>678656</xdr:rowOff>
    </xdr:to>
    <xdr:cxnSp macro="">
      <xdr:nvCxnSpPr>
        <xdr:cNvPr id="1076" name="直線接點 1075"/>
        <xdr:cNvCxnSpPr/>
      </xdr:nvCxnSpPr>
      <xdr:spPr>
        <a:xfrm>
          <a:off x="21847968" y="15240000"/>
          <a:ext cx="952500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24</xdr:row>
      <xdr:rowOff>11906</xdr:rowOff>
    </xdr:from>
    <xdr:to>
      <xdr:col>16</xdr:col>
      <xdr:colOff>0</xdr:colOff>
      <xdr:row>24</xdr:row>
      <xdr:rowOff>678656</xdr:rowOff>
    </xdr:to>
    <xdr:cxnSp macro="">
      <xdr:nvCxnSpPr>
        <xdr:cNvPr id="1077" name="直線接點 1076"/>
        <xdr:cNvCxnSpPr/>
      </xdr:nvCxnSpPr>
      <xdr:spPr>
        <a:xfrm>
          <a:off x="17621250" y="15240000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27</xdr:row>
      <xdr:rowOff>11906</xdr:rowOff>
    </xdr:from>
    <xdr:to>
      <xdr:col>16</xdr:col>
      <xdr:colOff>773906</xdr:colOff>
      <xdr:row>28</xdr:row>
      <xdr:rowOff>0</xdr:rowOff>
    </xdr:to>
    <xdr:cxnSp macro="">
      <xdr:nvCxnSpPr>
        <xdr:cNvPr id="1087" name="直線接點 1086"/>
        <xdr:cNvCxnSpPr/>
      </xdr:nvCxnSpPr>
      <xdr:spPr>
        <a:xfrm>
          <a:off x="18692812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27</xdr:row>
      <xdr:rowOff>23812</xdr:rowOff>
    </xdr:from>
    <xdr:to>
      <xdr:col>18</xdr:col>
      <xdr:colOff>11906</xdr:colOff>
      <xdr:row>28</xdr:row>
      <xdr:rowOff>11906</xdr:rowOff>
    </xdr:to>
    <xdr:cxnSp macro="">
      <xdr:nvCxnSpPr>
        <xdr:cNvPr id="1088" name="直線接點 1087"/>
        <xdr:cNvCxnSpPr/>
      </xdr:nvCxnSpPr>
      <xdr:spPr>
        <a:xfrm>
          <a:off x="19490531" y="1732359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27</xdr:row>
      <xdr:rowOff>0</xdr:rowOff>
    </xdr:from>
    <xdr:to>
      <xdr:col>19</xdr:col>
      <xdr:colOff>0</xdr:colOff>
      <xdr:row>27</xdr:row>
      <xdr:rowOff>666750</xdr:rowOff>
    </xdr:to>
    <xdr:cxnSp macro="">
      <xdr:nvCxnSpPr>
        <xdr:cNvPr id="1089" name="直線接點 1088"/>
        <xdr:cNvCxnSpPr/>
      </xdr:nvCxnSpPr>
      <xdr:spPr>
        <a:xfrm>
          <a:off x="21074062" y="17299781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27</xdr:row>
      <xdr:rowOff>11906</xdr:rowOff>
    </xdr:from>
    <xdr:to>
      <xdr:col>12</xdr:col>
      <xdr:colOff>773906</xdr:colOff>
      <xdr:row>28</xdr:row>
      <xdr:rowOff>0</xdr:rowOff>
    </xdr:to>
    <xdr:cxnSp macro="">
      <xdr:nvCxnSpPr>
        <xdr:cNvPr id="1090" name="直線接點 1089"/>
        <xdr:cNvCxnSpPr/>
      </xdr:nvCxnSpPr>
      <xdr:spPr>
        <a:xfrm>
          <a:off x="14478000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27</xdr:row>
      <xdr:rowOff>23812</xdr:rowOff>
    </xdr:from>
    <xdr:to>
      <xdr:col>14</xdr:col>
      <xdr:colOff>11906</xdr:colOff>
      <xdr:row>28</xdr:row>
      <xdr:rowOff>11906</xdr:rowOff>
    </xdr:to>
    <xdr:cxnSp macro="">
      <xdr:nvCxnSpPr>
        <xdr:cNvPr id="1091" name="直線接點 1090"/>
        <xdr:cNvCxnSpPr/>
      </xdr:nvCxnSpPr>
      <xdr:spPr>
        <a:xfrm>
          <a:off x="15275719" y="1732359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27</xdr:row>
      <xdr:rowOff>11906</xdr:rowOff>
    </xdr:from>
    <xdr:to>
      <xdr:col>14</xdr:col>
      <xdr:colOff>773906</xdr:colOff>
      <xdr:row>28</xdr:row>
      <xdr:rowOff>0</xdr:rowOff>
    </xdr:to>
    <xdr:cxnSp macro="">
      <xdr:nvCxnSpPr>
        <xdr:cNvPr id="1092" name="直線接點 1091"/>
        <xdr:cNvCxnSpPr/>
      </xdr:nvCxnSpPr>
      <xdr:spPr>
        <a:xfrm>
          <a:off x="16835437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11906</xdr:rowOff>
    </xdr:from>
    <xdr:to>
      <xdr:col>20</xdr:col>
      <xdr:colOff>0</xdr:colOff>
      <xdr:row>27</xdr:row>
      <xdr:rowOff>678656</xdr:rowOff>
    </xdr:to>
    <xdr:cxnSp macro="">
      <xdr:nvCxnSpPr>
        <xdr:cNvPr id="1093" name="直線接點 1092"/>
        <xdr:cNvCxnSpPr/>
      </xdr:nvCxnSpPr>
      <xdr:spPr>
        <a:xfrm>
          <a:off x="21847969" y="17311687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27</xdr:row>
      <xdr:rowOff>11906</xdr:rowOff>
    </xdr:from>
    <xdr:to>
      <xdr:col>16</xdr:col>
      <xdr:colOff>0</xdr:colOff>
      <xdr:row>27</xdr:row>
      <xdr:rowOff>678656</xdr:rowOff>
    </xdr:to>
    <xdr:cxnSp macro="">
      <xdr:nvCxnSpPr>
        <xdr:cNvPr id="1094" name="直線接點 1093"/>
        <xdr:cNvCxnSpPr/>
      </xdr:nvCxnSpPr>
      <xdr:spPr>
        <a:xfrm>
          <a:off x="17621250" y="17311687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28</xdr:row>
      <xdr:rowOff>11906</xdr:rowOff>
    </xdr:from>
    <xdr:to>
      <xdr:col>16</xdr:col>
      <xdr:colOff>773906</xdr:colOff>
      <xdr:row>29</xdr:row>
      <xdr:rowOff>0</xdr:rowOff>
    </xdr:to>
    <xdr:cxnSp macro="">
      <xdr:nvCxnSpPr>
        <xdr:cNvPr id="1106" name="直線接點 1105"/>
        <xdr:cNvCxnSpPr/>
      </xdr:nvCxnSpPr>
      <xdr:spPr>
        <a:xfrm>
          <a:off x="18692812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28</xdr:row>
      <xdr:rowOff>23812</xdr:rowOff>
    </xdr:from>
    <xdr:to>
      <xdr:col>18</xdr:col>
      <xdr:colOff>11906</xdr:colOff>
      <xdr:row>29</xdr:row>
      <xdr:rowOff>11906</xdr:rowOff>
    </xdr:to>
    <xdr:cxnSp macro="">
      <xdr:nvCxnSpPr>
        <xdr:cNvPr id="1107" name="直線接點 1106"/>
        <xdr:cNvCxnSpPr/>
      </xdr:nvCxnSpPr>
      <xdr:spPr>
        <a:xfrm>
          <a:off x="19490531" y="1732359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28</xdr:row>
      <xdr:rowOff>0</xdr:rowOff>
    </xdr:from>
    <xdr:to>
      <xdr:col>19</xdr:col>
      <xdr:colOff>0</xdr:colOff>
      <xdr:row>28</xdr:row>
      <xdr:rowOff>666750</xdr:rowOff>
    </xdr:to>
    <xdr:cxnSp macro="">
      <xdr:nvCxnSpPr>
        <xdr:cNvPr id="1108" name="直線接點 1107"/>
        <xdr:cNvCxnSpPr/>
      </xdr:nvCxnSpPr>
      <xdr:spPr>
        <a:xfrm>
          <a:off x="21074062" y="17299781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28</xdr:row>
      <xdr:rowOff>11906</xdr:rowOff>
    </xdr:from>
    <xdr:to>
      <xdr:col>12</xdr:col>
      <xdr:colOff>773906</xdr:colOff>
      <xdr:row>29</xdr:row>
      <xdr:rowOff>0</xdr:rowOff>
    </xdr:to>
    <xdr:cxnSp macro="">
      <xdr:nvCxnSpPr>
        <xdr:cNvPr id="1109" name="直線接點 1108"/>
        <xdr:cNvCxnSpPr/>
      </xdr:nvCxnSpPr>
      <xdr:spPr>
        <a:xfrm>
          <a:off x="14478000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28</xdr:row>
      <xdr:rowOff>23812</xdr:rowOff>
    </xdr:from>
    <xdr:to>
      <xdr:col>14</xdr:col>
      <xdr:colOff>11906</xdr:colOff>
      <xdr:row>29</xdr:row>
      <xdr:rowOff>11906</xdr:rowOff>
    </xdr:to>
    <xdr:cxnSp macro="">
      <xdr:nvCxnSpPr>
        <xdr:cNvPr id="1110" name="直線接點 1109"/>
        <xdr:cNvCxnSpPr/>
      </xdr:nvCxnSpPr>
      <xdr:spPr>
        <a:xfrm>
          <a:off x="15275719" y="1732359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28</xdr:row>
      <xdr:rowOff>11906</xdr:rowOff>
    </xdr:from>
    <xdr:to>
      <xdr:col>14</xdr:col>
      <xdr:colOff>773906</xdr:colOff>
      <xdr:row>29</xdr:row>
      <xdr:rowOff>0</xdr:rowOff>
    </xdr:to>
    <xdr:cxnSp macro="">
      <xdr:nvCxnSpPr>
        <xdr:cNvPr id="1111" name="直線接點 1110"/>
        <xdr:cNvCxnSpPr/>
      </xdr:nvCxnSpPr>
      <xdr:spPr>
        <a:xfrm>
          <a:off x="16835437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28</xdr:row>
      <xdr:rowOff>11906</xdr:rowOff>
    </xdr:from>
    <xdr:to>
      <xdr:col>20</xdr:col>
      <xdr:colOff>0</xdr:colOff>
      <xdr:row>28</xdr:row>
      <xdr:rowOff>678656</xdr:rowOff>
    </xdr:to>
    <xdr:cxnSp macro="">
      <xdr:nvCxnSpPr>
        <xdr:cNvPr id="1112" name="直線接點 1111"/>
        <xdr:cNvCxnSpPr/>
      </xdr:nvCxnSpPr>
      <xdr:spPr>
        <a:xfrm>
          <a:off x="21847969" y="17311687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28</xdr:row>
      <xdr:rowOff>11906</xdr:rowOff>
    </xdr:from>
    <xdr:to>
      <xdr:col>16</xdr:col>
      <xdr:colOff>0</xdr:colOff>
      <xdr:row>28</xdr:row>
      <xdr:rowOff>678656</xdr:rowOff>
    </xdr:to>
    <xdr:cxnSp macro="">
      <xdr:nvCxnSpPr>
        <xdr:cNvPr id="1113" name="直線接點 1112"/>
        <xdr:cNvCxnSpPr/>
      </xdr:nvCxnSpPr>
      <xdr:spPr>
        <a:xfrm>
          <a:off x="17621250" y="17311687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29</xdr:row>
      <xdr:rowOff>11906</xdr:rowOff>
    </xdr:from>
    <xdr:to>
      <xdr:col>16</xdr:col>
      <xdr:colOff>773906</xdr:colOff>
      <xdr:row>30</xdr:row>
      <xdr:rowOff>0</xdr:rowOff>
    </xdr:to>
    <xdr:cxnSp macro="">
      <xdr:nvCxnSpPr>
        <xdr:cNvPr id="1136" name="直線接點 1135"/>
        <xdr:cNvCxnSpPr/>
      </xdr:nvCxnSpPr>
      <xdr:spPr>
        <a:xfrm>
          <a:off x="18692812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29</xdr:row>
      <xdr:rowOff>23812</xdr:rowOff>
    </xdr:from>
    <xdr:to>
      <xdr:col>18</xdr:col>
      <xdr:colOff>11906</xdr:colOff>
      <xdr:row>30</xdr:row>
      <xdr:rowOff>11906</xdr:rowOff>
    </xdr:to>
    <xdr:cxnSp macro="">
      <xdr:nvCxnSpPr>
        <xdr:cNvPr id="1137" name="直線接點 1136"/>
        <xdr:cNvCxnSpPr/>
      </xdr:nvCxnSpPr>
      <xdr:spPr>
        <a:xfrm>
          <a:off x="19490531" y="1732359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29</xdr:row>
      <xdr:rowOff>0</xdr:rowOff>
    </xdr:from>
    <xdr:to>
      <xdr:col>19</xdr:col>
      <xdr:colOff>0</xdr:colOff>
      <xdr:row>29</xdr:row>
      <xdr:rowOff>666750</xdr:rowOff>
    </xdr:to>
    <xdr:cxnSp macro="">
      <xdr:nvCxnSpPr>
        <xdr:cNvPr id="1138" name="直線接點 1137"/>
        <xdr:cNvCxnSpPr/>
      </xdr:nvCxnSpPr>
      <xdr:spPr>
        <a:xfrm>
          <a:off x="21074062" y="17299781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29</xdr:row>
      <xdr:rowOff>11906</xdr:rowOff>
    </xdr:from>
    <xdr:to>
      <xdr:col>12</xdr:col>
      <xdr:colOff>773906</xdr:colOff>
      <xdr:row>30</xdr:row>
      <xdr:rowOff>0</xdr:rowOff>
    </xdr:to>
    <xdr:cxnSp macro="">
      <xdr:nvCxnSpPr>
        <xdr:cNvPr id="1139" name="直線接點 1138"/>
        <xdr:cNvCxnSpPr/>
      </xdr:nvCxnSpPr>
      <xdr:spPr>
        <a:xfrm>
          <a:off x="14478000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29</xdr:row>
      <xdr:rowOff>23812</xdr:rowOff>
    </xdr:from>
    <xdr:to>
      <xdr:col>14</xdr:col>
      <xdr:colOff>11906</xdr:colOff>
      <xdr:row>30</xdr:row>
      <xdr:rowOff>11906</xdr:rowOff>
    </xdr:to>
    <xdr:cxnSp macro="">
      <xdr:nvCxnSpPr>
        <xdr:cNvPr id="1140" name="直線接點 1139"/>
        <xdr:cNvCxnSpPr/>
      </xdr:nvCxnSpPr>
      <xdr:spPr>
        <a:xfrm>
          <a:off x="15275719" y="1732359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29</xdr:row>
      <xdr:rowOff>11906</xdr:rowOff>
    </xdr:from>
    <xdr:to>
      <xdr:col>14</xdr:col>
      <xdr:colOff>773906</xdr:colOff>
      <xdr:row>30</xdr:row>
      <xdr:rowOff>0</xdr:rowOff>
    </xdr:to>
    <xdr:cxnSp macro="">
      <xdr:nvCxnSpPr>
        <xdr:cNvPr id="1141" name="直線接點 1140"/>
        <xdr:cNvCxnSpPr/>
      </xdr:nvCxnSpPr>
      <xdr:spPr>
        <a:xfrm>
          <a:off x="16835437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29</xdr:row>
      <xdr:rowOff>11906</xdr:rowOff>
    </xdr:from>
    <xdr:to>
      <xdr:col>20</xdr:col>
      <xdr:colOff>0</xdr:colOff>
      <xdr:row>29</xdr:row>
      <xdr:rowOff>678656</xdr:rowOff>
    </xdr:to>
    <xdr:cxnSp macro="">
      <xdr:nvCxnSpPr>
        <xdr:cNvPr id="1142" name="直線接點 1141"/>
        <xdr:cNvCxnSpPr/>
      </xdr:nvCxnSpPr>
      <xdr:spPr>
        <a:xfrm>
          <a:off x="21847969" y="17311687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29</xdr:row>
      <xdr:rowOff>11906</xdr:rowOff>
    </xdr:from>
    <xdr:to>
      <xdr:col>16</xdr:col>
      <xdr:colOff>0</xdr:colOff>
      <xdr:row>29</xdr:row>
      <xdr:rowOff>678656</xdr:rowOff>
    </xdr:to>
    <xdr:cxnSp macro="">
      <xdr:nvCxnSpPr>
        <xdr:cNvPr id="1143" name="直線接點 1142"/>
        <xdr:cNvCxnSpPr/>
      </xdr:nvCxnSpPr>
      <xdr:spPr>
        <a:xfrm>
          <a:off x="17621250" y="17311687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30</xdr:row>
      <xdr:rowOff>11906</xdr:rowOff>
    </xdr:from>
    <xdr:to>
      <xdr:col>16</xdr:col>
      <xdr:colOff>773906</xdr:colOff>
      <xdr:row>31</xdr:row>
      <xdr:rowOff>0</xdr:rowOff>
    </xdr:to>
    <xdr:cxnSp macro="">
      <xdr:nvCxnSpPr>
        <xdr:cNvPr id="1156" name="直線接點 1155"/>
        <xdr:cNvCxnSpPr/>
      </xdr:nvCxnSpPr>
      <xdr:spPr>
        <a:xfrm>
          <a:off x="18692812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30</xdr:row>
      <xdr:rowOff>23812</xdr:rowOff>
    </xdr:from>
    <xdr:to>
      <xdr:col>18</xdr:col>
      <xdr:colOff>11906</xdr:colOff>
      <xdr:row>31</xdr:row>
      <xdr:rowOff>11906</xdr:rowOff>
    </xdr:to>
    <xdr:cxnSp macro="">
      <xdr:nvCxnSpPr>
        <xdr:cNvPr id="1157" name="直線接點 1156"/>
        <xdr:cNvCxnSpPr/>
      </xdr:nvCxnSpPr>
      <xdr:spPr>
        <a:xfrm>
          <a:off x="19490531" y="1732359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30</xdr:row>
      <xdr:rowOff>0</xdr:rowOff>
    </xdr:from>
    <xdr:to>
      <xdr:col>19</xdr:col>
      <xdr:colOff>0</xdr:colOff>
      <xdr:row>30</xdr:row>
      <xdr:rowOff>666750</xdr:rowOff>
    </xdr:to>
    <xdr:cxnSp macro="">
      <xdr:nvCxnSpPr>
        <xdr:cNvPr id="1158" name="直線接點 1157"/>
        <xdr:cNvCxnSpPr/>
      </xdr:nvCxnSpPr>
      <xdr:spPr>
        <a:xfrm>
          <a:off x="21074062" y="17299781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30</xdr:row>
      <xdr:rowOff>11906</xdr:rowOff>
    </xdr:from>
    <xdr:to>
      <xdr:col>12</xdr:col>
      <xdr:colOff>773906</xdr:colOff>
      <xdr:row>31</xdr:row>
      <xdr:rowOff>0</xdr:rowOff>
    </xdr:to>
    <xdr:cxnSp macro="">
      <xdr:nvCxnSpPr>
        <xdr:cNvPr id="1159" name="直線接點 1158"/>
        <xdr:cNvCxnSpPr/>
      </xdr:nvCxnSpPr>
      <xdr:spPr>
        <a:xfrm>
          <a:off x="14478000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30</xdr:row>
      <xdr:rowOff>23812</xdr:rowOff>
    </xdr:from>
    <xdr:to>
      <xdr:col>14</xdr:col>
      <xdr:colOff>11906</xdr:colOff>
      <xdr:row>31</xdr:row>
      <xdr:rowOff>11906</xdr:rowOff>
    </xdr:to>
    <xdr:cxnSp macro="">
      <xdr:nvCxnSpPr>
        <xdr:cNvPr id="1160" name="直線接點 1159"/>
        <xdr:cNvCxnSpPr/>
      </xdr:nvCxnSpPr>
      <xdr:spPr>
        <a:xfrm>
          <a:off x="15275719" y="1732359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30</xdr:row>
      <xdr:rowOff>11906</xdr:rowOff>
    </xdr:from>
    <xdr:to>
      <xdr:col>14</xdr:col>
      <xdr:colOff>773906</xdr:colOff>
      <xdr:row>31</xdr:row>
      <xdr:rowOff>0</xdr:rowOff>
    </xdr:to>
    <xdr:cxnSp macro="">
      <xdr:nvCxnSpPr>
        <xdr:cNvPr id="1161" name="直線接點 1160"/>
        <xdr:cNvCxnSpPr/>
      </xdr:nvCxnSpPr>
      <xdr:spPr>
        <a:xfrm>
          <a:off x="16835437" y="1731168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30</xdr:row>
      <xdr:rowOff>11906</xdr:rowOff>
    </xdr:from>
    <xdr:to>
      <xdr:col>20</xdr:col>
      <xdr:colOff>0</xdr:colOff>
      <xdr:row>30</xdr:row>
      <xdr:rowOff>678656</xdr:rowOff>
    </xdr:to>
    <xdr:cxnSp macro="">
      <xdr:nvCxnSpPr>
        <xdr:cNvPr id="1162" name="直線接點 1161"/>
        <xdr:cNvCxnSpPr/>
      </xdr:nvCxnSpPr>
      <xdr:spPr>
        <a:xfrm>
          <a:off x="21847969" y="17311687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30</xdr:row>
      <xdr:rowOff>11906</xdr:rowOff>
    </xdr:from>
    <xdr:to>
      <xdr:col>16</xdr:col>
      <xdr:colOff>0</xdr:colOff>
      <xdr:row>30</xdr:row>
      <xdr:rowOff>678656</xdr:rowOff>
    </xdr:to>
    <xdr:cxnSp macro="">
      <xdr:nvCxnSpPr>
        <xdr:cNvPr id="1163" name="直線接點 1162"/>
        <xdr:cNvCxnSpPr/>
      </xdr:nvCxnSpPr>
      <xdr:spPr>
        <a:xfrm>
          <a:off x="17621250" y="17311687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30</xdr:row>
      <xdr:rowOff>23812</xdr:rowOff>
    </xdr:from>
    <xdr:to>
      <xdr:col>18</xdr:col>
      <xdr:colOff>11906</xdr:colOff>
      <xdr:row>31</xdr:row>
      <xdr:rowOff>11906</xdr:rowOff>
    </xdr:to>
    <xdr:cxnSp macro="">
      <xdr:nvCxnSpPr>
        <xdr:cNvPr id="1176" name="直線接點 1175"/>
        <xdr:cNvCxnSpPr/>
      </xdr:nvCxnSpPr>
      <xdr:spPr>
        <a:xfrm>
          <a:off x="19490531" y="1939528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30</xdr:row>
      <xdr:rowOff>23812</xdr:rowOff>
    </xdr:from>
    <xdr:to>
      <xdr:col>14</xdr:col>
      <xdr:colOff>11906</xdr:colOff>
      <xdr:row>31</xdr:row>
      <xdr:rowOff>11906</xdr:rowOff>
    </xdr:to>
    <xdr:cxnSp macro="">
      <xdr:nvCxnSpPr>
        <xdr:cNvPr id="1177" name="直線接點 1176"/>
        <xdr:cNvCxnSpPr/>
      </xdr:nvCxnSpPr>
      <xdr:spPr>
        <a:xfrm>
          <a:off x="15275719" y="1939528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31</xdr:row>
      <xdr:rowOff>11906</xdr:rowOff>
    </xdr:from>
    <xdr:to>
      <xdr:col>16</xdr:col>
      <xdr:colOff>773906</xdr:colOff>
      <xdr:row>32</xdr:row>
      <xdr:rowOff>0</xdr:rowOff>
    </xdr:to>
    <xdr:cxnSp macro="">
      <xdr:nvCxnSpPr>
        <xdr:cNvPr id="1178" name="直線接點 1177"/>
        <xdr:cNvCxnSpPr/>
      </xdr:nvCxnSpPr>
      <xdr:spPr>
        <a:xfrm>
          <a:off x="18692812" y="200739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31</xdr:row>
      <xdr:rowOff>23812</xdr:rowOff>
    </xdr:from>
    <xdr:to>
      <xdr:col>18</xdr:col>
      <xdr:colOff>11906</xdr:colOff>
      <xdr:row>32</xdr:row>
      <xdr:rowOff>11906</xdr:rowOff>
    </xdr:to>
    <xdr:cxnSp macro="">
      <xdr:nvCxnSpPr>
        <xdr:cNvPr id="1179" name="直線接點 1178"/>
        <xdr:cNvCxnSpPr/>
      </xdr:nvCxnSpPr>
      <xdr:spPr>
        <a:xfrm>
          <a:off x="19490531" y="2008584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31</xdr:row>
      <xdr:rowOff>0</xdr:rowOff>
    </xdr:from>
    <xdr:to>
      <xdr:col>19</xdr:col>
      <xdr:colOff>0</xdr:colOff>
      <xdr:row>31</xdr:row>
      <xdr:rowOff>666750</xdr:rowOff>
    </xdr:to>
    <xdr:cxnSp macro="">
      <xdr:nvCxnSpPr>
        <xdr:cNvPr id="1180" name="直線接點 1179"/>
        <xdr:cNvCxnSpPr/>
      </xdr:nvCxnSpPr>
      <xdr:spPr>
        <a:xfrm>
          <a:off x="21074062" y="20062031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31</xdr:row>
      <xdr:rowOff>11906</xdr:rowOff>
    </xdr:from>
    <xdr:to>
      <xdr:col>12</xdr:col>
      <xdr:colOff>773906</xdr:colOff>
      <xdr:row>32</xdr:row>
      <xdr:rowOff>0</xdr:rowOff>
    </xdr:to>
    <xdr:cxnSp macro="">
      <xdr:nvCxnSpPr>
        <xdr:cNvPr id="1181" name="直線接點 1180"/>
        <xdr:cNvCxnSpPr/>
      </xdr:nvCxnSpPr>
      <xdr:spPr>
        <a:xfrm>
          <a:off x="14478000" y="200739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31</xdr:row>
      <xdr:rowOff>23812</xdr:rowOff>
    </xdr:from>
    <xdr:to>
      <xdr:col>14</xdr:col>
      <xdr:colOff>11906</xdr:colOff>
      <xdr:row>32</xdr:row>
      <xdr:rowOff>11906</xdr:rowOff>
    </xdr:to>
    <xdr:cxnSp macro="">
      <xdr:nvCxnSpPr>
        <xdr:cNvPr id="1182" name="直線接點 1181"/>
        <xdr:cNvCxnSpPr/>
      </xdr:nvCxnSpPr>
      <xdr:spPr>
        <a:xfrm>
          <a:off x="15275719" y="2008584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31</xdr:row>
      <xdr:rowOff>11906</xdr:rowOff>
    </xdr:from>
    <xdr:to>
      <xdr:col>14</xdr:col>
      <xdr:colOff>773906</xdr:colOff>
      <xdr:row>32</xdr:row>
      <xdr:rowOff>0</xdr:rowOff>
    </xdr:to>
    <xdr:cxnSp macro="">
      <xdr:nvCxnSpPr>
        <xdr:cNvPr id="1183" name="直線接點 1182"/>
        <xdr:cNvCxnSpPr/>
      </xdr:nvCxnSpPr>
      <xdr:spPr>
        <a:xfrm>
          <a:off x="16835437" y="200739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11906</xdr:rowOff>
    </xdr:from>
    <xdr:to>
      <xdr:col>20</xdr:col>
      <xdr:colOff>0</xdr:colOff>
      <xdr:row>31</xdr:row>
      <xdr:rowOff>678656</xdr:rowOff>
    </xdr:to>
    <xdr:cxnSp macro="">
      <xdr:nvCxnSpPr>
        <xdr:cNvPr id="1184" name="直線接點 1183"/>
        <xdr:cNvCxnSpPr/>
      </xdr:nvCxnSpPr>
      <xdr:spPr>
        <a:xfrm>
          <a:off x="21847969" y="20073937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11906</xdr:rowOff>
    </xdr:from>
    <xdr:to>
      <xdr:col>16</xdr:col>
      <xdr:colOff>0</xdr:colOff>
      <xdr:row>31</xdr:row>
      <xdr:rowOff>678656</xdr:rowOff>
    </xdr:to>
    <xdr:cxnSp macro="">
      <xdr:nvCxnSpPr>
        <xdr:cNvPr id="1185" name="直線接點 1184"/>
        <xdr:cNvCxnSpPr/>
      </xdr:nvCxnSpPr>
      <xdr:spPr>
        <a:xfrm>
          <a:off x="17621250" y="20073937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31</xdr:row>
      <xdr:rowOff>23812</xdr:rowOff>
    </xdr:from>
    <xdr:to>
      <xdr:col>18</xdr:col>
      <xdr:colOff>11906</xdr:colOff>
      <xdr:row>32</xdr:row>
      <xdr:rowOff>11906</xdr:rowOff>
    </xdr:to>
    <xdr:cxnSp macro="">
      <xdr:nvCxnSpPr>
        <xdr:cNvPr id="1198" name="直線接點 1197"/>
        <xdr:cNvCxnSpPr/>
      </xdr:nvCxnSpPr>
      <xdr:spPr>
        <a:xfrm>
          <a:off x="19490531" y="19395281"/>
          <a:ext cx="1571625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31</xdr:row>
      <xdr:rowOff>23812</xdr:rowOff>
    </xdr:from>
    <xdr:to>
      <xdr:col>14</xdr:col>
      <xdr:colOff>11906</xdr:colOff>
      <xdr:row>32</xdr:row>
      <xdr:rowOff>11906</xdr:rowOff>
    </xdr:to>
    <xdr:cxnSp macro="">
      <xdr:nvCxnSpPr>
        <xdr:cNvPr id="1199" name="直線接點 1198"/>
        <xdr:cNvCxnSpPr/>
      </xdr:nvCxnSpPr>
      <xdr:spPr>
        <a:xfrm>
          <a:off x="15275719" y="1939528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32</xdr:row>
      <xdr:rowOff>11906</xdr:rowOff>
    </xdr:from>
    <xdr:to>
      <xdr:col>16</xdr:col>
      <xdr:colOff>773906</xdr:colOff>
      <xdr:row>33</xdr:row>
      <xdr:rowOff>0</xdr:rowOff>
    </xdr:to>
    <xdr:cxnSp macro="">
      <xdr:nvCxnSpPr>
        <xdr:cNvPr id="1200" name="直線接點 1199"/>
        <xdr:cNvCxnSpPr/>
      </xdr:nvCxnSpPr>
      <xdr:spPr>
        <a:xfrm>
          <a:off x="18692812" y="200739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32</xdr:row>
      <xdr:rowOff>23812</xdr:rowOff>
    </xdr:from>
    <xdr:to>
      <xdr:col>18</xdr:col>
      <xdr:colOff>11906</xdr:colOff>
      <xdr:row>33</xdr:row>
      <xdr:rowOff>11906</xdr:rowOff>
    </xdr:to>
    <xdr:cxnSp macro="">
      <xdr:nvCxnSpPr>
        <xdr:cNvPr id="1201" name="直線接點 1200"/>
        <xdr:cNvCxnSpPr/>
      </xdr:nvCxnSpPr>
      <xdr:spPr>
        <a:xfrm>
          <a:off x="19490531" y="2008584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</xdr:colOff>
      <xdr:row>32</xdr:row>
      <xdr:rowOff>0</xdr:rowOff>
    </xdr:from>
    <xdr:to>
      <xdr:col>19</xdr:col>
      <xdr:colOff>0</xdr:colOff>
      <xdr:row>32</xdr:row>
      <xdr:rowOff>666750</xdr:rowOff>
    </xdr:to>
    <xdr:cxnSp macro="">
      <xdr:nvCxnSpPr>
        <xdr:cNvPr id="1202" name="直線接點 1201"/>
        <xdr:cNvCxnSpPr/>
      </xdr:nvCxnSpPr>
      <xdr:spPr>
        <a:xfrm>
          <a:off x="21074062" y="20062031"/>
          <a:ext cx="773907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32</xdr:row>
      <xdr:rowOff>11906</xdr:rowOff>
    </xdr:from>
    <xdr:to>
      <xdr:col>12</xdr:col>
      <xdr:colOff>773906</xdr:colOff>
      <xdr:row>33</xdr:row>
      <xdr:rowOff>0</xdr:rowOff>
    </xdr:to>
    <xdr:cxnSp macro="">
      <xdr:nvCxnSpPr>
        <xdr:cNvPr id="1203" name="直線接點 1202"/>
        <xdr:cNvCxnSpPr/>
      </xdr:nvCxnSpPr>
      <xdr:spPr>
        <a:xfrm>
          <a:off x="14478000" y="200739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32</xdr:row>
      <xdr:rowOff>23812</xdr:rowOff>
    </xdr:from>
    <xdr:to>
      <xdr:col>14</xdr:col>
      <xdr:colOff>11906</xdr:colOff>
      <xdr:row>33</xdr:row>
      <xdr:rowOff>11906</xdr:rowOff>
    </xdr:to>
    <xdr:cxnSp macro="">
      <xdr:nvCxnSpPr>
        <xdr:cNvPr id="1204" name="直線接點 1203"/>
        <xdr:cNvCxnSpPr/>
      </xdr:nvCxnSpPr>
      <xdr:spPr>
        <a:xfrm>
          <a:off x="15275719" y="2008584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32</xdr:row>
      <xdr:rowOff>11906</xdr:rowOff>
    </xdr:from>
    <xdr:to>
      <xdr:col>14</xdr:col>
      <xdr:colOff>773906</xdr:colOff>
      <xdr:row>33</xdr:row>
      <xdr:rowOff>0</xdr:rowOff>
    </xdr:to>
    <xdr:cxnSp macro="">
      <xdr:nvCxnSpPr>
        <xdr:cNvPr id="1205" name="直線接點 1204"/>
        <xdr:cNvCxnSpPr/>
      </xdr:nvCxnSpPr>
      <xdr:spPr>
        <a:xfrm>
          <a:off x="16835437" y="20073937"/>
          <a:ext cx="762000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32</xdr:row>
      <xdr:rowOff>11906</xdr:rowOff>
    </xdr:from>
    <xdr:to>
      <xdr:col>20</xdr:col>
      <xdr:colOff>0</xdr:colOff>
      <xdr:row>32</xdr:row>
      <xdr:rowOff>678656</xdr:rowOff>
    </xdr:to>
    <xdr:cxnSp macro="">
      <xdr:nvCxnSpPr>
        <xdr:cNvPr id="1206" name="直線接點 1205"/>
        <xdr:cNvCxnSpPr/>
      </xdr:nvCxnSpPr>
      <xdr:spPr>
        <a:xfrm>
          <a:off x="21847969" y="20073937"/>
          <a:ext cx="96440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32</xdr:row>
      <xdr:rowOff>11906</xdr:rowOff>
    </xdr:from>
    <xdr:to>
      <xdr:col>16</xdr:col>
      <xdr:colOff>0</xdr:colOff>
      <xdr:row>32</xdr:row>
      <xdr:rowOff>678656</xdr:rowOff>
    </xdr:to>
    <xdr:cxnSp macro="">
      <xdr:nvCxnSpPr>
        <xdr:cNvPr id="1207" name="直線接點 1206"/>
        <xdr:cNvCxnSpPr/>
      </xdr:nvCxnSpPr>
      <xdr:spPr>
        <a:xfrm>
          <a:off x="17621250" y="20073937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32</xdr:row>
      <xdr:rowOff>23812</xdr:rowOff>
    </xdr:from>
    <xdr:to>
      <xdr:col>18</xdr:col>
      <xdr:colOff>11906</xdr:colOff>
      <xdr:row>33</xdr:row>
      <xdr:rowOff>11906</xdr:rowOff>
    </xdr:to>
    <xdr:cxnSp macro="">
      <xdr:nvCxnSpPr>
        <xdr:cNvPr id="1208" name="直線接點 1207"/>
        <xdr:cNvCxnSpPr/>
      </xdr:nvCxnSpPr>
      <xdr:spPr>
        <a:xfrm>
          <a:off x="19490531" y="20085843"/>
          <a:ext cx="1571625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32</xdr:row>
      <xdr:rowOff>23812</xdr:rowOff>
    </xdr:from>
    <xdr:to>
      <xdr:col>14</xdr:col>
      <xdr:colOff>11906</xdr:colOff>
      <xdr:row>33</xdr:row>
      <xdr:rowOff>11906</xdr:rowOff>
    </xdr:to>
    <xdr:cxnSp macro="">
      <xdr:nvCxnSpPr>
        <xdr:cNvPr id="1209" name="直線接點 1208"/>
        <xdr:cNvCxnSpPr/>
      </xdr:nvCxnSpPr>
      <xdr:spPr>
        <a:xfrm>
          <a:off x="15275719" y="20085843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58</xdr:row>
      <xdr:rowOff>23812</xdr:rowOff>
    </xdr:from>
    <xdr:to>
      <xdr:col>10</xdr:col>
      <xdr:colOff>11906</xdr:colOff>
      <xdr:row>59</xdr:row>
      <xdr:rowOff>11906</xdr:rowOff>
    </xdr:to>
    <xdr:cxnSp macro="">
      <xdr:nvCxnSpPr>
        <xdr:cNvPr id="479" name="直線接點 478"/>
        <xdr:cNvCxnSpPr/>
      </xdr:nvCxnSpPr>
      <xdr:spPr>
        <a:xfrm>
          <a:off x="11060906" y="37599937"/>
          <a:ext cx="1559719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58</xdr:row>
      <xdr:rowOff>23812</xdr:rowOff>
    </xdr:from>
    <xdr:to>
      <xdr:col>14</xdr:col>
      <xdr:colOff>11906</xdr:colOff>
      <xdr:row>59</xdr:row>
      <xdr:rowOff>11906</xdr:rowOff>
    </xdr:to>
    <xdr:cxnSp macro="">
      <xdr:nvCxnSpPr>
        <xdr:cNvPr id="480" name="直線接點 479"/>
        <xdr:cNvCxnSpPr/>
      </xdr:nvCxnSpPr>
      <xdr:spPr>
        <a:xfrm>
          <a:off x="15275719" y="37599937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59</xdr:row>
      <xdr:rowOff>11906</xdr:rowOff>
    </xdr:from>
    <xdr:to>
      <xdr:col>9</xdr:col>
      <xdr:colOff>11906</xdr:colOff>
      <xdr:row>59</xdr:row>
      <xdr:rowOff>666750</xdr:rowOff>
    </xdr:to>
    <xdr:cxnSp macro="">
      <xdr:nvCxnSpPr>
        <xdr:cNvPr id="481" name="直線接點 480"/>
        <xdr:cNvCxnSpPr/>
      </xdr:nvCxnSpPr>
      <xdr:spPr>
        <a:xfrm>
          <a:off x="10263187" y="38278594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59</xdr:row>
      <xdr:rowOff>23812</xdr:rowOff>
    </xdr:from>
    <xdr:to>
      <xdr:col>10</xdr:col>
      <xdr:colOff>11906</xdr:colOff>
      <xdr:row>62</xdr:row>
      <xdr:rowOff>11906</xdr:rowOff>
    </xdr:to>
    <xdr:cxnSp macro="">
      <xdr:nvCxnSpPr>
        <xdr:cNvPr id="482" name="直線接點 481"/>
        <xdr:cNvCxnSpPr/>
      </xdr:nvCxnSpPr>
      <xdr:spPr>
        <a:xfrm>
          <a:off x="11060906" y="38290500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59</xdr:row>
      <xdr:rowOff>11906</xdr:rowOff>
    </xdr:from>
    <xdr:to>
      <xdr:col>10</xdr:col>
      <xdr:colOff>773906</xdr:colOff>
      <xdr:row>60</xdr:row>
      <xdr:rowOff>0</xdr:rowOff>
    </xdr:to>
    <xdr:cxnSp macro="">
      <xdr:nvCxnSpPr>
        <xdr:cNvPr id="492" name="直線接點 491"/>
        <xdr:cNvCxnSpPr/>
      </xdr:nvCxnSpPr>
      <xdr:spPr>
        <a:xfrm>
          <a:off x="12620625" y="38278594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59</xdr:row>
      <xdr:rowOff>11906</xdr:rowOff>
    </xdr:from>
    <xdr:to>
      <xdr:col>12</xdr:col>
      <xdr:colOff>773906</xdr:colOff>
      <xdr:row>60</xdr:row>
      <xdr:rowOff>0</xdr:rowOff>
    </xdr:to>
    <xdr:cxnSp macro="">
      <xdr:nvCxnSpPr>
        <xdr:cNvPr id="493" name="直線接點 492"/>
        <xdr:cNvCxnSpPr/>
      </xdr:nvCxnSpPr>
      <xdr:spPr>
        <a:xfrm>
          <a:off x="14478000" y="38278594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59</xdr:row>
      <xdr:rowOff>23812</xdr:rowOff>
    </xdr:from>
    <xdr:to>
      <xdr:col>14</xdr:col>
      <xdr:colOff>11906</xdr:colOff>
      <xdr:row>62</xdr:row>
      <xdr:rowOff>11906</xdr:rowOff>
    </xdr:to>
    <xdr:cxnSp macro="">
      <xdr:nvCxnSpPr>
        <xdr:cNvPr id="494" name="直線接點 493"/>
        <xdr:cNvCxnSpPr/>
      </xdr:nvCxnSpPr>
      <xdr:spPr>
        <a:xfrm>
          <a:off x="15275719" y="38290500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59</xdr:row>
      <xdr:rowOff>11906</xdr:rowOff>
    </xdr:from>
    <xdr:to>
      <xdr:col>14</xdr:col>
      <xdr:colOff>773906</xdr:colOff>
      <xdr:row>60</xdr:row>
      <xdr:rowOff>0</xdr:rowOff>
    </xdr:to>
    <xdr:cxnSp macro="">
      <xdr:nvCxnSpPr>
        <xdr:cNvPr id="495" name="直線接點 494"/>
        <xdr:cNvCxnSpPr/>
      </xdr:nvCxnSpPr>
      <xdr:spPr>
        <a:xfrm>
          <a:off x="16835437" y="38278594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59</xdr:row>
      <xdr:rowOff>11906</xdr:rowOff>
    </xdr:from>
    <xdr:to>
      <xdr:col>16</xdr:col>
      <xdr:colOff>0</xdr:colOff>
      <xdr:row>59</xdr:row>
      <xdr:rowOff>678656</xdr:rowOff>
    </xdr:to>
    <xdr:cxnSp macro="">
      <xdr:nvCxnSpPr>
        <xdr:cNvPr id="496" name="直線接點 495"/>
        <xdr:cNvCxnSpPr/>
      </xdr:nvCxnSpPr>
      <xdr:spPr>
        <a:xfrm>
          <a:off x="17621250" y="38278594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59</xdr:row>
      <xdr:rowOff>11906</xdr:rowOff>
    </xdr:from>
    <xdr:to>
      <xdr:col>12</xdr:col>
      <xdr:colOff>0</xdr:colOff>
      <xdr:row>59</xdr:row>
      <xdr:rowOff>678656</xdr:rowOff>
    </xdr:to>
    <xdr:cxnSp macro="">
      <xdr:nvCxnSpPr>
        <xdr:cNvPr id="497" name="直線接點 496"/>
        <xdr:cNvCxnSpPr/>
      </xdr:nvCxnSpPr>
      <xdr:spPr>
        <a:xfrm>
          <a:off x="13406438" y="38278594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59</xdr:row>
      <xdr:rowOff>23812</xdr:rowOff>
    </xdr:from>
    <xdr:to>
      <xdr:col>10</xdr:col>
      <xdr:colOff>11906</xdr:colOff>
      <xdr:row>60</xdr:row>
      <xdr:rowOff>11906</xdr:rowOff>
    </xdr:to>
    <xdr:cxnSp macro="">
      <xdr:nvCxnSpPr>
        <xdr:cNvPr id="474" name="直線接點 473"/>
        <xdr:cNvCxnSpPr/>
      </xdr:nvCxnSpPr>
      <xdr:spPr>
        <a:xfrm>
          <a:off x="11060906" y="38981062"/>
          <a:ext cx="1559719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59</xdr:row>
      <xdr:rowOff>23812</xdr:rowOff>
    </xdr:from>
    <xdr:to>
      <xdr:col>14</xdr:col>
      <xdr:colOff>11906</xdr:colOff>
      <xdr:row>60</xdr:row>
      <xdr:rowOff>11906</xdr:rowOff>
    </xdr:to>
    <xdr:cxnSp macro="">
      <xdr:nvCxnSpPr>
        <xdr:cNvPr id="475" name="直線接點 474"/>
        <xdr:cNvCxnSpPr/>
      </xdr:nvCxnSpPr>
      <xdr:spPr>
        <a:xfrm>
          <a:off x="15275719" y="38981062"/>
          <a:ext cx="1559718" cy="6786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11906</xdr:colOff>
      <xdr:row>60</xdr:row>
      <xdr:rowOff>11906</xdr:rowOff>
    </xdr:from>
    <xdr:to>
      <xdr:col>9</xdr:col>
      <xdr:colOff>11906</xdr:colOff>
      <xdr:row>60</xdr:row>
      <xdr:rowOff>666750</xdr:rowOff>
    </xdr:to>
    <xdr:cxnSp macro="">
      <xdr:nvCxnSpPr>
        <xdr:cNvPr id="476" name="直線接點 475"/>
        <xdr:cNvCxnSpPr/>
      </xdr:nvCxnSpPr>
      <xdr:spPr>
        <a:xfrm>
          <a:off x="10263187" y="39659719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60</xdr:row>
      <xdr:rowOff>11906</xdr:rowOff>
    </xdr:from>
    <xdr:to>
      <xdr:col>10</xdr:col>
      <xdr:colOff>773906</xdr:colOff>
      <xdr:row>61</xdr:row>
      <xdr:rowOff>0</xdr:rowOff>
    </xdr:to>
    <xdr:cxnSp macro="">
      <xdr:nvCxnSpPr>
        <xdr:cNvPr id="477" name="直線接點 476"/>
        <xdr:cNvCxnSpPr/>
      </xdr:nvCxnSpPr>
      <xdr:spPr>
        <a:xfrm>
          <a:off x="12620625" y="39659719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60</xdr:row>
      <xdr:rowOff>11906</xdr:rowOff>
    </xdr:from>
    <xdr:to>
      <xdr:col>12</xdr:col>
      <xdr:colOff>773906</xdr:colOff>
      <xdr:row>61</xdr:row>
      <xdr:rowOff>0</xdr:rowOff>
    </xdr:to>
    <xdr:cxnSp macro="">
      <xdr:nvCxnSpPr>
        <xdr:cNvPr id="478" name="直線接點 477"/>
        <xdr:cNvCxnSpPr/>
      </xdr:nvCxnSpPr>
      <xdr:spPr>
        <a:xfrm>
          <a:off x="14478000" y="39659719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60</xdr:row>
      <xdr:rowOff>11906</xdr:rowOff>
    </xdr:from>
    <xdr:to>
      <xdr:col>14</xdr:col>
      <xdr:colOff>773906</xdr:colOff>
      <xdr:row>61</xdr:row>
      <xdr:rowOff>0</xdr:rowOff>
    </xdr:to>
    <xdr:cxnSp macro="">
      <xdr:nvCxnSpPr>
        <xdr:cNvPr id="498" name="直線接點 497"/>
        <xdr:cNvCxnSpPr/>
      </xdr:nvCxnSpPr>
      <xdr:spPr>
        <a:xfrm>
          <a:off x="16835437" y="39659719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60</xdr:row>
      <xdr:rowOff>11906</xdr:rowOff>
    </xdr:from>
    <xdr:to>
      <xdr:col>16</xdr:col>
      <xdr:colOff>0</xdr:colOff>
      <xdr:row>60</xdr:row>
      <xdr:rowOff>678656</xdr:rowOff>
    </xdr:to>
    <xdr:cxnSp macro="">
      <xdr:nvCxnSpPr>
        <xdr:cNvPr id="499" name="直線接點 498"/>
        <xdr:cNvCxnSpPr/>
      </xdr:nvCxnSpPr>
      <xdr:spPr>
        <a:xfrm>
          <a:off x="17621250" y="39659719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60</xdr:row>
      <xdr:rowOff>11906</xdr:rowOff>
    </xdr:from>
    <xdr:to>
      <xdr:col>12</xdr:col>
      <xdr:colOff>0</xdr:colOff>
      <xdr:row>60</xdr:row>
      <xdr:rowOff>678656</xdr:rowOff>
    </xdr:to>
    <xdr:cxnSp macro="">
      <xdr:nvCxnSpPr>
        <xdr:cNvPr id="500" name="直線接點 499"/>
        <xdr:cNvCxnSpPr/>
      </xdr:nvCxnSpPr>
      <xdr:spPr>
        <a:xfrm>
          <a:off x="13406438" y="39659719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51</xdr:row>
      <xdr:rowOff>23812</xdr:rowOff>
    </xdr:from>
    <xdr:to>
      <xdr:col>9</xdr:col>
      <xdr:colOff>0</xdr:colOff>
      <xdr:row>51</xdr:row>
      <xdr:rowOff>678656</xdr:rowOff>
    </xdr:to>
    <xdr:cxnSp macro="">
      <xdr:nvCxnSpPr>
        <xdr:cNvPr id="528" name="直線接點 527"/>
        <xdr:cNvCxnSpPr/>
      </xdr:nvCxnSpPr>
      <xdr:spPr>
        <a:xfrm>
          <a:off x="10251281" y="35683031"/>
          <a:ext cx="797719" cy="6548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</xdr:colOff>
      <xdr:row>51</xdr:row>
      <xdr:rowOff>23812</xdr:rowOff>
    </xdr:from>
    <xdr:to>
      <xdr:col>10</xdr:col>
      <xdr:colOff>11906</xdr:colOff>
      <xdr:row>52</xdr:row>
      <xdr:rowOff>11906</xdr:rowOff>
    </xdr:to>
    <xdr:cxnSp macro="">
      <xdr:nvCxnSpPr>
        <xdr:cNvPr id="529" name="直線接點 528"/>
        <xdr:cNvCxnSpPr/>
      </xdr:nvCxnSpPr>
      <xdr:spPr>
        <a:xfrm>
          <a:off x="11060906" y="35683031"/>
          <a:ext cx="1559719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11906</xdr:colOff>
      <xdr:row>51</xdr:row>
      <xdr:rowOff>11906</xdr:rowOff>
    </xdr:from>
    <xdr:to>
      <xdr:col>10</xdr:col>
      <xdr:colOff>773906</xdr:colOff>
      <xdr:row>52</xdr:row>
      <xdr:rowOff>0</xdr:rowOff>
    </xdr:to>
    <xdr:cxnSp macro="">
      <xdr:nvCxnSpPr>
        <xdr:cNvPr id="530" name="直線接點 529"/>
        <xdr:cNvCxnSpPr/>
      </xdr:nvCxnSpPr>
      <xdr:spPr>
        <a:xfrm>
          <a:off x="12620625" y="35671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11906</xdr:colOff>
      <xdr:row>51</xdr:row>
      <xdr:rowOff>11906</xdr:rowOff>
    </xdr:from>
    <xdr:to>
      <xdr:col>12</xdr:col>
      <xdr:colOff>773906</xdr:colOff>
      <xdr:row>52</xdr:row>
      <xdr:rowOff>0</xdr:rowOff>
    </xdr:to>
    <xdr:cxnSp macro="">
      <xdr:nvCxnSpPr>
        <xdr:cNvPr id="531" name="直線接點 530"/>
        <xdr:cNvCxnSpPr/>
      </xdr:nvCxnSpPr>
      <xdr:spPr>
        <a:xfrm>
          <a:off x="14478000" y="35671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51</xdr:row>
      <xdr:rowOff>23812</xdr:rowOff>
    </xdr:from>
    <xdr:to>
      <xdr:col>14</xdr:col>
      <xdr:colOff>11906</xdr:colOff>
      <xdr:row>52</xdr:row>
      <xdr:rowOff>11906</xdr:rowOff>
    </xdr:to>
    <xdr:cxnSp macro="">
      <xdr:nvCxnSpPr>
        <xdr:cNvPr id="532" name="直線接點 531"/>
        <xdr:cNvCxnSpPr/>
      </xdr:nvCxnSpPr>
      <xdr:spPr>
        <a:xfrm>
          <a:off x="15275719" y="35683031"/>
          <a:ext cx="1559718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</xdr:colOff>
      <xdr:row>51</xdr:row>
      <xdr:rowOff>11906</xdr:rowOff>
    </xdr:from>
    <xdr:to>
      <xdr:col>14</xdr:col>
      <xdr:colOff>773906</xdr:colOff>
      <xdr:row>52</xdr:row>
      <xdr:rowOff>0</xdr:rowOff>
    </xdr:to>
    <xdr:cxnSp macro="">
      <xdr:nvCxnSpPr>
        <xdr:cNvPr id="533" name="直線接點 532"/>
        <xdr:cNvCxnSpPr/>
      </xdr:nvCxnSpPr>
      <xdr:spPr>
        <a:xfrm>
          <a:off x="16835437" y="35671125"/>
          <a:ext cx="762000" cy="678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51</xdr:row>
      <xdr:rowOff>11906</xdr:rowOff>
    </xdr:from>
    <xdr:to>
      <xdr:col>16</xdr:col>
      <xdr:colOff>0</xdr:colOff>
      <xdr:row>51</xdr:row>
      <xdr:rowOff>678656</xdr:rowOff>
    </xdr:to>
    <xdr:cxnSp macro="">
      <xdr:nvCxnSpPr>
        <xdr:cNvPr id="534" name="直線接點 533"/>
        <xdr:cNvCxnSpPr/>
      </xdr:nvCxnSpPr>
      <xdr:spPr>
        <a:xfrm>
          <a:off x="17621250" y="356711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51</xdr:row>
      <xdr:rowOff>11906</xdr:rowOff>
    </xdr:from>
    <xdr:to>
      <xdr:col>12</xdr:col>
      <xdr:colOff>0</xdr:colOff>
      <xdr:row>51</xdr:row>
      <xdr:rowOff>678656</xdr:rowOff>
    </xdr:to>
    <xdr:cxnSp macro="">
      <xdr:nvCxnSpPr>
        <xdr:cNvPr id="535" name="直線接點 534"/>
        <xdr:cNvCxnSpPr/>
      </xdr:nvCxnSpPr>
      <xdr:spPr>
        <a:xfrm>
          <a:off x="13406438" y="35671125"/>
          <a:ext cx="1059656" cy="666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23813</xdr:colOff>
      <xdr:row>8</xdr:row>
      <xdr:rowOff>0</xdr:rowOff>
    </xdr:from>
    <xdr:to>
      <xdr:col>9</xdr:col>
      <xdr:colOff>0</xdr:colOff>
      <xdr:row>9</xdr:row>
      <xdr:rowOff>11906</xdr:rowOff>
    </xdr:to>
    <xdr:cxnSp macro="">
      <xdr:nvCxnSpPr>
        <xdr:cNvPr id="8" name="直線接點 7"/>
        <xdr:cNvCxnSpPr/>
      </xdr:nvCxnSpPr>
      <xdr:spPr>
        <a:xfrm>
          <a:off x="10275094" y="3488531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8</xdr:row>
      <xdr:rowOff>9525</xdr:rowOff>
    </xdr:from>
    <xdr:to>
      <xdr:col>10</xdr:col>
      <xdr:colOff>11906</xdr:colOff>
      <xdr:row>9</xdr:row>
      <xdr:rowOff>11906</xdr:rowOff>
    </xdr:to>
    <xdr:cxnSp macro="">
      <xdr:nvCxnSpPr>
        <xdr:cNvPr id="11" name="直線接點 10"/>
        <xdr:cNvCxnSpPr/>
      </xdr:nvCxnSpPr>
      <xdr:spPr>
        <a:xfrm>
          <a:off x="11034712" y="3498056"/>
          <a:ext cx="1585913" cy="6929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773906</xdr:colOff>
      <xdr:row>9</xdr:row>
      <xdr:rowOff>11906</xdr:rowOff>
    </xdr:to>
    <xdr:cxnSp macro="">
      <xdr:nvCxnSpPr>
        <xdr:cNvPr id="18" name="直線接點 17"/>
        <xdr:cNvCxnSpPr/>
      </xdr:nvCxnSpPr>
      <xdr:spPr>
        <a:xfrm>
          <a:off x="12608719" y="3488531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11906</xdr:colOff>
      <xdr:row>9</xdr:row>
      <xdr:rowOff>11906</xdr:rowOff>
    </xdr:to>
    <xdr:cxnSp macro="">
      <xdr:nvCxnSpPr>
        <xdr:cNvPr id="20" name="直線接點 19"/>
        <xdr:cNvCxnSpPr/>
      </xdr:nvCxnSpPr>
      <xdr:spPr>
        <a:xfrm>
          <a:off x="13406438" y="3488531"/>
          <a:ext cx="1071562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8</xdr:row>
      <xdr:rowOff>11907</xdr:rowOff>
    </xdr:from>
    <xdr:to>
      <xdr:col>17</xdr:col>
      <xdr:colOff>1547812</xdr:colOff>
      <xdr:row>9</xdr:row>
      <xdr:rowOff>11906</xdr:rowOff>
    </xdr:to>
    <xdr:cxnSp macro="">
      <xdr:nvCxnSpPr>
        <xdr:cNvPr id="37" name="直線接點 36"/>
        <xdr:cNvCxnSpPr/>
      </xdr:nvCxnSpPr>
      <xdr:spPr>
        <a:xfrm>
          <a:off x="19466719" y="3500438"/>
          <a:ext cx="1559718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8</xdr:row>
      <xdr:rowOff>11906</xdr:rowOff>
    </xdr:from>
    <xdr:to>
      <xdr:col>15</xdr:col>
      <xdr:colOff>35719</xdr:colOff>
      <xdr:row>9</xdr:row>
      <xdr:rowOff>11906</xdr:rowOff>
    </xdr:to>
    <xdr:cxnSp macro="">
      <xdr:nvCxnSpPr>
        <xdr:cNvPr id="39" name="直線接點 38"/>
        <xdr:cNvCxnSpPr/>
      </xdr:nvCxnSpPr>
      <xdr:spPr>
        <a:xfrm>
          <a:off x="16823531" y="3500437"/>
          <a:ext cx="833438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</xdr:row>
      <xdr:rowOff>0</xdr:rowOff>
    </xdr:from>
    <xdr:to>
      <xdr:col>16</xdr:col>
      <xdr:colOff>11906</xdr:colOff>
      <xdr:row>9</xdr:row>
      <xdr:rowOff>11906</xdr:rowOff>
    </xdr:to>
    <xdr:cxnSp macro="">
      <xdr:nvCxnSpPr>
        <xdr:cNvPr id="41" name="直線接點 40"/>
        <xdr:cNvCxnSpPr/>
      </xdr:nvCxnSpPr>
      <xdr:spPr>
        <a:xfrm>
          <a:off x="17621250" y="3488531"/>
          <a:ext cx="1071562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773906</xdr:colOff>
      <xdr:row>9</xdr:row>
      <xdr:rowOff>11906</xdr:rowOff>
    </xdr:to>
    <xdr:cxnSp macro="">
      <xdr:nvCxnSpPr>
        <xdr:cNvPr id="44" name="直線接點 43"/>
        <xdr:cNvCxnSpPr/>
      </xdr:nvCxnSpPr>
      <xdr:spPr>
        <a:xfrm>
          <a:off x="18680906" y="3488531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</xdr:row>
      <xdr:rowOff>0</xdr:rowOff>
    </xdr:from>
    <xdr:to>
      <xdr:col>18</xdr:col>
      <xdr:colOff>773906</xdr:colOff>
      <xdr:row>9</xdr:row>
      <xdr:rowOff>11906</xdr:rowOff>
    </xdr:to>
    <xdr:cxnSp macro="">
      <xdr:nvCxnSpPr>
        <xdr:cNvPr id="45" name="直線接點 44"/>
        <xdr:cNvCxnSpPr/>
      </xdr:nvCxnSpPr>
      <xdr:spPr>
        <a:xfrm>
          <a:off x="21050250" y="3488531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8</xdr:row>
      <xdr:rowOff>0</xdr:rowOff>
    </xdr:from>
    <xdr:to>
      <xdr:col>19</xdr:col>
      <xdr:colOff>952500</xdr:colOff>
      <xdr:row>9</xdr:row>
      <xdr:rowOff>0</xdr:rowOff>
    </xdr:to>
    <xdr:cxnSp macro="">
      <xdr:nvCxnSpPr>
        <xdr:cNvPr id="46" name="直線接點 45"/>
        <xdr:cNvCxnSpPr/>
      </xdr:nvCxnSpPr>
      <xdr:spPr>
        <a:xfrm>
          <a:off x="21847969" y="3488531"/>
          <a:ext cx="952500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23813</xdr:colOff>
      <xdr:row>4</xdr:row>
      <xdr:rowOff>0</xdr:rowOff>
    </xdr:from>
    <xdr:to>
      <xdr:col>9</xdr:col>
      <xdr:colOff>0</xdr:colOff>
      <xdr:row>5</xdr:row>
      <xdr:rowOff>11906</xdr:rowOff>
    </xdr:to>
    <xdr:cxnSp macro="">
      <xdr:nvCxnSpPr>
        <xdr:cNvPr id="60" name="直線接點 59"/>
        <xdr:cNvCxnSpPr/>
      </xdr:nvCxnSpPr>
      <xdr:spPr>
        <a:xfrm>
          <a:off x="10275094" y="3488531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4</xdr:row>
      <xdr:rowOff>9525</xdr:rowOff>
    </xdr:from>
    <xdr:to>
      <xdr:col>10</xdr:col>
      <xdr:colOff>11906</xdr:colOff>
      <xdr:row>5</xdr:row>
      <xdr:rowOff>11906</xdr:rowOff>
    </xdr:to>
    <xdr:cxnSp macro="">
      <xdr:nvCxnSpPr>
        <xdr:cNvPr id="61" name="直線接點 60"/>
        <xdr:cNvCxnSpPr/>
      </xdr:nvCxnSpPr>
      <xdr:spPr>
        <a:xfrm>
          <a:off x="11034712" y="3498056"/>
          <a:ext cx="1585913" cy="6929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773906</xdr:colOff>
      <xdr:row>5</xdr:row>
      <xdr:rowOff>11906</xdr:rowOff>
    </xdr:to>
    <xdr:cxnSp macro="">
      <xdr:nvCxnSpPr>
        <xdr:cNvPr id="62" name="直線接點 61"/>
        <xdr:cNvCxnSpPr/>
      </xdr:nvCxnSpPr>
      <xdr:spPr>
        <a:xfrm>
          <a:off x="12608719" y="3488531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11906</xdr:colOff>
      <xdr:row>5</xdr:row>
      <xdr:rowOff>11906</xdr:rowOff>
    </xdr:to>
    <xdr:cxnSp macro="">
      <xdr:nvCxnSpPr>
        <xdr:cNvPr id="63" name="直線接點 62"/>
        <xdr:cNvCxnSpPr/>
      </xdr:nvCxnSpPr>
      <xdr:spPr>
        <a:xfrm>
          <a:off x="13406438" y="3488531"/>
          <a:ext cx="1071562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</xdr:row>
      <xdr:rowOff>678656</xdr:rowOff>
    </xdr:from>
    <xdr:to>
      <xdr:col>13</xdr:col>
      <xdr:colOff>-1</xdr:colOff>
      <xdr:row>5</xdr:row>
      <xdr:rowOff>0</xdr:rowOff>
    </xdr:to>
    <xdr:cxnSp macro="">
      <xdr:nvCxnSpPr>
        <xdr:cNvPr id="64" name="直線接點 63"/>
        <xdr:cNvCxnSpPr/>
      </xdr:nvCxnSpPr>
      <xdr:spPr>
        <a:xfrm>
          <a:off x="14466094" y="3476625"/>
          <a:ext cx="797718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3</xdr:row>
      <xdr:rowOff>678656</xdr:rowOff>
    </xdr:from>
    <xdr:to>
      <xdr:col>14</xdr:col>
      <xdr:colOff>11906</xdr:colOff>
      <xdr:row>4</xdr:row>
      <xdr:rowOff>678656</xdr:rowOff>
    </xdr:to>
    <xdr:cxnSp macro="">
      <xdr:nvCxnSpPr>
        <xdr:cNvPr id="65" name="直線接點 64"/>
        <xdr:cNvCxnSpPr/>
      </xdr:nvCxnSpPr>
      <xdr:spPr>
        <a:xfrm>
          <a:off x="15275719" y="3476625"/>
          <a:ext cx="1559718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4</xdr:row>
      <xdr:rowOff>11907</xdr:rowOff>
    </xdr:from>
    <xdr:to>
      <xdr:col>17</xdr:col>
      <xdr:colOff>1547812</xdr:colOff>
      <xdr:row>5</xdr:row>
      <xdr:rowOff>11906</xdr:rowOff>
    </xdr:to>
    <xdr:cxnSp macro="">
      <xdr:nvCxnSpPr>
        <xdr:cNvPr id="66" name="直線接點 65"/>
        <xdr:cNvCxnSpPr/>
      </xdr:nvCxnSpPr>
      <xdr:spPr>
        <a:xfrm>
          <a:off x="19466719" y="3500438"/>
          <a:ext cx="1559718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</xdr:row>
      <xdr:rowOff>11906</xdr:rowOff>
    </xdr:from>
    <xdr:to>
      <xdr:col>15</xdr:col>
      <xdr:colOff>35719</xdr:colOff>
      <xdr:row>5</xdr:row>
      <xdr:rowOff>11906</xdr:rowOff>
    </xdr:to>
    <xdr:cxnSp macro="">
      <xdr:nvCxnSpPr>
        <xdr:cNvPr id="67" name="直線接點 66"/>
        <xdr:cNvCxnSpPr/>
      </xdr:nvCxnSpPr>
      <xdr:spPr>
        <a:xfrm>
          <a:off x="16823531" y="3500437"/>
          <a:ext cx="833438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11906</xdr:colOff>
      <xdr:row>5</xdr:row>
      <xdr:rowOff>11906</xdr:rowOff>
    </xdr:to>
    <xdr:cxnSp macro="">
      <xdr:nvCxnSpPr>
        <xdr:cNvPr id="68" name="直線接點 67"/>
        <xdr:cNvCxnSpPr/>
      </xdr:nvCxnSpPr>
      <xdr:spPr>
        <a:xfrm>
          <a:off x="17621250" y="3488531"/>
          <a:ext cx="1071562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</xdr:row>
      <xdr:rowOff>0</xdr:rowOff>
    </xdr:from>
    <xdr:to>
      <xdr:col>16</xdr:col>
      <xdr:colOff>773906</xdr:colOff>
      <xdr:row>5</xdr:row>
      <xdr:rowOff>11906</xdr:rowOff>
    </xdr:to>
    <xdr:cxnSp macro="">
      <xdr:nvCxnSpPr>
        <xdr:cNvPr id="69" name="直線接點 68"/>
        <xdr:cNvCxnSpPr/>
      </xdr:nvCxnSpPr>
      <xdr:spPr>
        <a:xfrm>
          <a:off x="18680906" y="3488531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</xdr:row>
      <xdr:rowOff>0</xdr:rowOff>
    </xdr:from>
    <xdr:to>
      <xdr:col>18</xdr:col>
      <xdr:colOff>773906</xdr:colOff>
      <xdr:row>5</xdr:row>
      <xdr:rowOff>11906</xdr:rowOff>
    </xdr:to>
    <xdr:cxnSp macro="">
      <xdr:nvCxnSpPr>
        <xdr:cNvPr id="70" name="直線接點 69"/>
        <xdr:cNvCxnSpPr/>
      </xdr:nvCxnSpPr>
      <xdr:spPr>
        <a:xfrm>
          <a:off x="21050250" y="3488531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</xdr:row>
      <xdr:rowOff>0</xdr:rowOff>
    </xdr:from>
    <xdr:to>
      <xdr:col>19</xdr:col>
      <xdr:colOff>952500</xdr:colOff>
      <xdr:row>5</xdr:row>
      <xdr:rowOff>0</xdr:rowOff>
    </xdr:to>
    <xdr:cxnSp macro="">
      <xdr:nvCxnSpPr>
        <xdr:cNvPr id="71" name="直線接點 70"/>
        <xdr:cNvCxnSpPr/>
      </xdr:nvCxnSpPr>
      <xdr:spPr>
        <a:xfrm>
          <a:off x="21847969" y="3488531"/>
          <a:ext cx="952500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5</xdr:row>
      <xdr:rowOff>11907</xdr:rowOff>
    </xdr:from>
    <xdr:to>
      <xdr:col>17</xdr:col>
      <xdr:colOff>1547812</xdr:colOff>
      <xdr:row>8</xdr:row>
      <xdr:rowOff>11906</xdr:rowOff>
    </xdr:to>
    <xdr:cxnSp macro="">
      <xdr:nvCxnSpPr>
        <xdr:cNvPr id="77" name="直線接點 76"/>
        <xdr:cNvCxnSpPr/>
      </xdr:nvCxnSpPr>
      <xdr:spPr>
        <a:xfrm>
          <a:off x="19466719" y="3500438"/>
          <a:ext cx="1559718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773906</xdr:colOff>
      <xdr:row>8</xdr:row>
      <xdr:rowOff>11906</xdr:rowOff>
    </xdr:to>
    <xdr:cxnSp macro="">
      <xdr:nvCxnSpPr>
        <xdr:cNvPr id="79" name="直線接點 78"/>
        <xdr:cNvCxnSpPr/>
      </xdr:nvCxnSpPr>
      <xdr:spPr>
        <a:xfrm>
          <a:off x="18680906" y="3488531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</xdr:row>
      <xdr:rowOff>0</xdr:rowOff>
    </xdr:from>
    <xdr:to>
      <xdr:col>18</xdr:col>
      <xdr:colOff>773906</xdr:colOff>
      <xdr:row>8</xdr:row>
      <xdr:rowOff>11906</xdr:rowOff>
    </xdr:to>
    <xdr:cxnSp macro="">
      <xdr:nvCxnSpPr>
        <xdr:cNvPr id="80" name="直線接點 79"/>
        <xdr:cNvCxnSpPr/>
      </xdr:nvCxnSpPr>
      <xdr:spPr>
        <a:xfrm>
          <a:off x="21050250" y="3488531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</xdr:row>
      <xdr:rowOff>0</xdr:rowOff>
    </xdr:from>
    <xdr:to>
      <xdr:col>19</xdr:col>
      <xdr:colOff>952500</xdr:colOff>
      <xdr:row>6</xdr:row>
      <xdr:rowOff>0</xdr:rowOff>
    </xdr:to>
    <xdr:cxnSp macro="">
      <xdr:nvCxnSpPr>
        <xdr:cNvPr id="81" name="直線接點 80"/>
        <xdr:cNvCxnSpPr/>
      </xdr:nvCxnSpPr>
      <xdr:spPr>
        <a:xfrm>
          <a:off x="21847969" y="3488531"/>
          <a:ext cx="952500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23813</xdr:colOff>
      <xdr:row>8</xdr:row>
      <xdr:rowOff>0</xdr:rowOff>
    </xdr:from>
    <xdr:to>
      <xdr:col>9</xdr:col>
      <xdr:colOff>0</xdr:colOff>
      <xdr:row>9</xdr:row>
      <xdr:rowOff>11906</xdr:rowOff>
    </xdr:to>
    <xdr:cxnSp macro="">
      <xdr:nvCxnSpPr>
        <xdr:cNvPr id="84" name="直線接點 83"/>
        <xdr:cNvCxnSpPr/>
      </xdr:nvCxnSpPr>
      <xdr:spPr>
        <a:xfrm>
          <a:off x="10297206" y="2122714"/>
          <a:ext cx="779008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8</xdr:row>
      <xdr:rowOff>9525</xdr:rowOff>
    </xdr:from>
    <xdr:to>
      <xdr:col>10</xdr:col>
      <xdr:colOff>11906</xdr:colOff>
      <xdr:row>9</xdr:row>
      <xdr:rowOff>11906</xdr:rowOff>
    </xdr:to>
    <xdr:cxnSp macro="">
      <xdr:nvCxnSpPr>
        <xdr:cNvPr id="85" name="直線接點 84"/>
        <xdr:cNvCxnSpPr/>
      </xdr:nvCxnSpPr>
      <xdr:spPr>
        <a:xfrm>
          <a:off x="11056824" y="2132239"/>
          <a:ext cx="1596118" cy="6963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773906</xdr:colOff>
      <xdr:row>9</xdr:row>
      <xdr:rowOff>11906</xdr:rowOff>
    </xdr:to>
    <xdr:cxnSp macro="">
      <xdr:nvCxnSpPr>
        <xdr:cNvPr id="88" name="直線接點 87"/>
        <xdr:cNvCxnSpPr/>
      </xdr:nvCxnSpPr>
      <xdr:spPr>
        <a:xfrm>
          <a:off x="12641036" y="2122714"/>
          <a:ext cx="773906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11906</xdr:colOff>
      <xdr:row>9</xdr:row>
      <xdr:rowOff>11906</xdr:rowOff>
    </xdr:to>
    <xdr:cxnSp macro="">
      <xdr:nvCxnSpPr>
        <xdr:cNvPr id="89" name="直線接點 88"/>
        <xdr:cNvCxnSpPr/>
      </xdr:nvCxnSpPr>
      <xdr:spPr>
        <a:xfrm>
          <a:off x="13443857" y="2122714"/>
          <a:ext cx="1073263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8</xdr:row>
      <xdr:rowOff>678656</xdr:rowOff>
    </xdr:from>
    <xdr:to>
      <xdr:col>13</xdr:col>
      <xdr:colOff>-1</xdr:colOff>
      <xdr:row>10</xdr:row>
      <xdr:rowOff>0</xdr:rowOff>
    </xdr:to>
    <xdr:cxnSp macro="">
      <xdr:nvCxnSpPr>
        <xdr:cNvPr id="105" name="直線接點 104"/>
        <xdr:cNvCxnSpPr/>
      </xdr:nvCxnSpPr>
      <xdr:spPr>
        <a:xfrm>
          <a:off x="14505214" y="3495335"/>
          <a:ext cx="802821" cy="7092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8</xdr:row>
      <xdr:rowOff>678656</xdr:rowOff>
    </xdr:from>
    <xdr:to>
      <xdr:col>14</xdr:col>
      <xdr:colOff>11906</xdr:colOff>
      <xdr:row>9</xdr:row>
      <xdr:rowOff>678656</xdr:rowOff>
    </xdr:to>
    <xdr:cxnSp macro="">
      <xdr:nvCxnSpPr>
        <xdr:cNvPr id="106" name="直線接點 105"/>
        <xdr:cNvCxnSpPr/>
      </xdr:nvCxnSpPr>
      <xdr:spPr>
        <a:xfrm>
          <a:off x="15319942" y="3495335"/>
          <a:ext cx="1564821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9</xdr:row>
      <xdr:rowOff>11907</xdr:rowOff>
    </xdr:from>
    <xdr:to>
      <xdr:col>17</xdr:col>
      <xdr:colOff>1547812</xdr:colOff>
      <xdr:row>10</xdr:row>
      <xdr:rowOff>11906</xdr:rowOff>
    </xdr:to>
    <xdr:cxnSp macro="">
      <xdr:nvCxnSpPr>
        <xdr:cNvPr id="107" name="直線接點 106"/>
        <xdr:cNvCxnSpPr/>
      </xdr:nvCxnSpPr>
      <xdr:spPr>
        <a:xfrm>
          <a:off x="18737036" y="3522550"/>
          <a:ext cx="0" cy="6939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</xdr:row>
      <xdr:rowOff>11906</xdr:rowOff>
    </xdr:from>
    <xdr:to>
      <xdr:col>15</xdr:col>
      <xdr:colOff>35719</xdr:colOff>
      <xdr:row>10</xdr:row>
      <xdr:rowOff>11906</xdr:rowOff>
    </xdr:to>
    <xdr:cxnSp macro="">
      <xdr:nvCxnSpPr>
        <xdr:cNvPr id="108" name="直線接點 107"/>
        <xdr:cNvCxnSpPr/>
      </xdr:nvCxnSpPr>
      <xdr:spPr>
        <a:xfrm>
          <a:off x="16872857" y="3522549"/>
          <a:ext cx="838541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9</xdr:row>
      <xdr:rowOff>0</xdr:rowOff>
    </xdr:from>
    <xdr:to>
      <xdr:col>16</xdr:col>
      <xdr:colOff>11906</xdr:colOff>
      <xdr:row>10</xdr:row>
      <xdr:rowOff>11906</xdr:rowOff>
    </xdr:to>
    <xdr:cxnSp macro="">
      <xdr:nvCxnSpPr>
        <xdr:cNvPr id="109" name="直線接點 108"/>
        <xdr:cNvCxnSpPr/>
      </xdr:nvCxnSpPr>
      <xdr:spPr>
        <a:xfrm>
          <a:off x="17675679" y="3510643"/>
          <a:ext cx="1061357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773906</xdr:colOff>
      <xdr:row>10</xdr:row>
      <xdr:rowOff>11906</xdr:rowOff>
    </xdr:to>
    <xdr:cxnSp macro="">
      <xdr:nvCxnSpPr>
        <xdr:cNvPr id="110" name="直線接點 109"/>
        <xdr:cNvCxnSpPr/>
      </xdr:nvCxnSpPr>
      <xdr:spPr>
        <a:xfrm>
          <a:off x="18737036" y="3510643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</xdr:row>
      <xdr:rowOff>0</xdr:rowOff>
    </xdr:from>
    <xdr:to>
      <xdr:col>18</xdr:col>
      <xdr:colOff>773906</xdr:colOff>
      <xdr:row>10</xdr:row>
      <xdr:rowOff>11906</xdr:rowOff>
    </xdr:to>
    <xdr:cxnSp macro="">
      <xdr:nvCxnSpPr>
        <xdr:cNvPr id="111" name="直線接點 110"/>
        <xdr:cNvCxnSpPr/>
      </xdr:nvCxnSpPr>
      <xdr:spPr>
        <a:xfrm>
          <a:off x="18737036" y="3510643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</xdr:row>
      <xdr:rowOff>0</xdr:rowOff>
    </xdr:from>
    <xdr:to>
      <xdr:col>19</xdr:col>
      <xdr:colOff>952500</xdr:colOff>
      <xdr:row>10</xdr:row>
      <xdr:rowOff>0</xdr:rowOff>
    </xdr:to>
    <xdr:cxnSp macro="">
      <xdr:nvCxnSpPr>
        <xdr:cNvPr id="112" name="直線接點 111"/>
        <xdr:cNvCxnSpPr/>
      </xdr:nvCxnSpPr>
      <xdr:spPr>
        <a:xfrm>
          <a:off x="18737036" y="3510643"/>
          <a:ext cx="0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8</xdr:row>
      <xdr:rowOff>11907</xdr:rowOff>
    </xdr:from>
    <xdr:to>
      <xdr:col>17</xdr:col>
      <xdr:colOff>1547812</xdr:colOff>
      <xdr:row>9</xdr:row>
      <xdr:rowOff>11906</xdr:rowOff>
    </xdr:to>
    <xdr:cxnSp macro="">
      <xdr:nvCxnSpPr>
        <xdr:cNvPr id="113" name="直線接點 112"/>
        <xdr:cNvCxnSpPr/>
      </xdr:nvCxnSpPr>
      <xdr:spPr>
        <a:xfrm>
          <a:off x="18737036" y="2828586"/>
          <a:ext cx="0" cy="6939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</xdr:row>
      <xdr:rowOff>0</xdr:rowOff>
    </xdr:from>
    <xdr:to>
      <xdr:col>16</xdr:col>
      <xdr:colOff>11906</xdr:colOff>
      <xdr:row>9</xdr:row>
      <xdr:rowOff>11906</xdr:rowOff>
    </xdr:to>
    <xdr:cxnSp macro="">
      <xdr:nvCxnSpPr>
        <xdr:cNvPr id="114" name="直線接點 113"/>
        <xdr:cNvCxnSpPr/>
      </xdr:nvCxnSpPr>
      <xdr:spPr>
        <a:xfrm>
          <a:off x="17675679" y="2816679"/>
          <a:ext cx="1061357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773906</xdr:colOff>
      <xdr:row>9</xdr:row>
      <xdr:rowOff>11906</xdr:rowOff>
    </xdr:to>
    <xdr:cxnSp macro="">
      <xdr:nvCxnSpPr>
        <xdr:cNvPr id="115" name="直線接點 114"/>
        <xdr:cNvCxnSpPr/>
      </xdr:nvCxnSpPr>
      <xdr:spPr>
        <a:xfrm>
          <a:off x="18737036" y="2816679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</xdr:row>
      <xdr:rowOff>0</xdr:rowOff>
    </xdr:from>
    <xdr:to>
      <xdr:col>18</xdr:col>
      <xdr:colOff>773906</xdr:colOff>
      <xdr:row>9</xdr:row>
      <xdr:rowOff>11906</xdr:rowOff>
    </xdr:to>
    <xdr:cxnSp macro="">
      <xdr:nvCxnSpPr>
        <xdr:cNvPr id="116" name="直線接點 115"/>
        <xdr:cNvCxnSpPr/>
      </xdr:nvCxnSpPr>
      <xdr:spPr>
        <a:xfrm>
          <a:off x="18737036" y="2816679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23813</xdr:colOff>
      <xdr:row>10</xdr:row>
      <xdr:rowOff>0</xdr:rowOff>
    </xdr:from>
    <xdr:to>
      <xdr:col>9</xdr:col>
      <xdr:colOff>0</xdr:colOff>
      <xdr:row>11</xdr:row>
      <xdr:rowOff>11906</xdr:rowOff>
    </xdr:to>
    <xdr:cxnSp macro="">
      <xdr:nvCxnSpPr>
        <xdr:cNvPr id="144" name="直線接點 143"/>
        <xdr:cNvCxnSpPr/>
      </xdr:nvCxnSpPr>
      <xdr:spPr>
        <a:xfrm>
          <a:off x="10297206" y="3510643"/>
          <a:ext cx="779008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10</xdr:row>
      <xdr:rowOff>9525</xdr:rowOff>
    </xdr:from>
    <xdr:to>
      <xdr:col>10</xdr:col>
      <xdr:colOff>11906</xdr:colOff>
      <xdr:row>11</xdr:row>
      <xdr:rowOff>11906</xdr:rowOff>
    </xdr:to>
    <xdr:cxnSp macro="">
      <xdr:nvCxnSpPr>
        <xdr:cNvPr id="145" name="直線接點 144"/>
        <xdr:cNvCxnSpPr/>
      </xdr:nvCxnSpPr>
      <xdr:spPr>
        <a:xfrm>
          <a:off x="11056824" y="3520168"/>
          <a:ext cx="1596118" cy="696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773906</xdr:colOff>
      <xdr:row>11</xdr:row>
      <xdr:rowOff>11906</xdr:rowOff>
    </xdr:to>
    <xdr:cxnSp macro="">
      <xdr:nvCxnSpPr>
        <xdr:cNvPr id="146" name="直線接點 145"/>
        <xdr:cNvCxnSpPr/>
      </xdr:nvCxnSpPr>
      <xdr:spPr>
        <a:xfrm>
          <a:off x="12641036" y="3510643"/>
          <a:ext cx="773906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12</xdr:col>
      <xdr:colOff>11906</xdr:colOff>
      <xdr:row>11</xdr:row>
      <xdr:rowOff>11906</xdr:rowOff>
    </xdr:to>
    <xdr:cxnSp macro="">
      <xdr:nvCxnSpPr>
        <xdr:cNvPr id="147" name="直線接點 146"/>
        <xdr:cNvCxnSpPr/>
      </xdr:nvCxnSpPr>
      <xdr:spPr>
        <a:xfrm>
          <a:off x="13443857" y="3510643"/>
          <a:ext cx="1073263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</xdr:row>
      <xdr:rowOff>678656</xdr:rowOff>
    </xdr:from>
    <xdr:to>
      <xdr:col>13</xdr:col>
      <xdr:colOff>-1</xdr:colOff>
      <xdr:row>11</xdr:row>
      <xdr:rowOff>0</xdr:rowOff>
    </xdr:to>
    <xdr:cxnSp macro="">
      <xdr:nvCxnSpPr>
        <xdr:cNvPr id="148" name="直線接點 147"/>
        <xdr:cNvCxnSpPr/>
      </xdr:nvCxnSpPr>
      <xdr:spPr>
        <a:xfrm>
          <a:off x="14505214" y="3495335"/>
          <a:ext cx="802821" cy="7092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9</xdr:row>
      <xdr:rowOff>678656</xdr:rowOff>
    </xdr:from>
    <xdr:to>
      <xdr:col>14</xdr:col>
      <xdr:colOff>11906</xdr:colOff>
      <xdr:row>10</xdr:row>
      <xdr:rowOff>678656</xdr:rowOff>
    </xdr:to>
    <xdr:cxnSp macro="">
      <xdr:nvCxnSpPr>
        <xdr:cNvPr id="149" name="直線接點 148"/>
        <xdr:cNvCxnSpPr/>
      </xdr:nvCxnSpPr>
      <xdr:spPr>
        <a:xfrm>
          <a:off x="15319942" y="3495335"/>
          <a:ext cx="1564821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10</xdr:row>
      <xdr:rowOff>11907</xdr:rowOff>
    </xdr:from>
    <xdr:to>
      <xdr:col>17</xdr:col>
      <xdr:colOff>1547812</xdr:colOff>
      <xdr:row>11</xdr:row>
      <xdr:rowOff>11906</xdr:rowOff>
    </xdr:to>
    <xdr:cxnSp macro="">
      <xdr:nvCxnSpPr>
        <xdr:cNvPr id="150" name="直線接點 149"/>
        <xdr:cNvCxnSpPr/>
      </xdr:nvCxnSpPr>
      <xdr:spPr>
        <a:xfrm>
          <a:off x="18737036" y="3522550"/>
          <a:ext cx="0" cy="6939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11906</xdr:rowOff>
    </xdr:from>
    <xdr:to>
      <xdr:col>15</xdr:col>
      <xdr:colOff>35719</xdr:colOff>
      <xdr:row>11</xdr:row>
      <xdr:rowOff>11906</xdr:rowOff>
    </xdr:to>
    <xdr:cxnSp macro="">
      <xdr:nvCxnSpPr>
        <xdr:cNvPr id="151" name="直線接點 150"/>
        <xdr:cNvCxnSpPr/>
      </xdr:nvCxnSpPr>
      <xdr:spPr>
        <a:xfrm>
          <a:off x="16872857" y="3522549"/>
          <a:ext cx="838541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0</xdr:rowOff>
    </xdr:from>
    <xdr:to>
      <xdr:col>16</xdr:col>
      <xdr:colOff>11906</xdr:colOff>
      <xdr:row>11</xdr:row>
      <xdr:rowOff>11906</xdr:rowOff>
    </xdr:to>
    <xdr:cxnSp macro="">
      <xdr:nvCxnSpPr>
        <xdr:cNvPr id="152" name="直線接點 151"/>
        <xdr:cNvCxnSpPr/>
      </xdr:nvCxnSpPr>
      <xdr:spPr>
        <a:xfrm>
          <a:off x="17675679" y="3510643"/>
          <a:ext cx="1061357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0</xdr:rowOff>
    </xdr:from>
    <xdr:to>
      <xdr:col>16</xdr:col>
      <xdr:colOff>773906</xdr:colOff>
      <xdr:row>11</xdr:row>
      <xdr:rowOff>11906</xdr:rowOff>
    </xdr:to>
    <xdr:cxnSp macro="">
      <xdr:nvCxnSpPr>
        <xdr:cNvPr id="153" name="直線接點 152"/>
        <xdr:cNvCxnSpPr/>
      </xdr:nvCxnSpPr>
      <xdr:spPr>
        <a:xfrm>
          <a:off x="18737036" y="3510643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773906</xdr:colOff>
      <xdr:row>11</xdr:row>
      <xdr:rowOff>11906</xdr:rowOff>
    </xdr:to>
    <xdr:cxnSp macro="">
      <xdr:nvCxnSpPr>
        <xdr:cNvPr id="154" name="直線接點 153"/>
        <xdr:cNvCxnSpPr/>
      </xdr:nvCxnSpPr>
      <xdr:spPr>
        <a:xfrm>
          <a:off x="18737036" y="3510643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10</xdr:row>
      <xdr:rowOff>0</xdr:rowOff>
    </xdr:from>
    <xdr:to>
      <xdr:col>19</xdr:col>
      <xdr:colOff>952500</xdr:colOff>
      <xdr:row>11</xdr:row>
      <xdr:rowOff>0</xdr:rowOff>
    </xdr:to>
    <xdr:cxnSp macro="">
      <xdr:nvCxnSpPr>
        <xdr:cNvPr id="155" name="直線接點 154"/>
        <xdr:cNvCxnSpPr/>
      </xdr:nvCxnSpPr>
      <xdr:spPr>
        <a:xfrm>
          <a:off x="18737036" y="3510643"/>
          <a:ext cx="0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9</xdr:row>
      <xdr:rowOff>11907</xdr:rowOff>
    </xdr:from>
    <xdr:to>
      <xdr:col>17</xdr:col>
      <xdr:colOff>1547812</xdr:colOff>
      <xdr:row>10</xdr:row>
      <xdr:rowOff>11906</xdr:rowOff>
    </xdr:to>
    <xdr:cxnSp macro="">
      <xdr:nvCxnSpPr>
        <xdr:cNvPr id="156" name="直線接點 155"/>
        <xdr:cNvCxnSpPr/>
      </xdr:nvCxnSpPr>
      <xdr:spPr>
        <a:xfrm>
          <a:off x="18737036" y="2828586"/>
          <a:ext cx="0" cy="6939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9</xdr:row>
      <xdr:rowOff>0</xdr:rowOff>
    </xdr:from>
    <xdr:to>
      <xdr:col>16</xdr:col>
      <xdr:colOff>11906</xdr:colOff>
      <xdr:row>10</xdr:row>
      <xdr:rowOff>11906</xdr:rowOff>
    </xdr:to>
    <xdr:cxnSp macro="">
      <xdr:nvCxnSpPr>
        <xdr:cNvPr id="157" name="直線接點 156"/>
        <xdr:cNvCxnSpPr/>
      </xdr:nvCxnSpPr>
      <xdr:spPr>
        <a:xfrm>
          <a:off x="17675679" y="2816679"/>
          <a:ext cx="1061357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773906</xdr:colOff>
      <xdr:row>10</xdr:row>
      <xdr:rowOff>11906</xdr:rowOff>
    </xdr:to>
    <xdr:cxnSp macro="">
      <xdr:nvCxnSpPr>
        <xdr:cNvPr id="158" name="直線接點 157"/>
        <xdr:cNvCxnSpPr/>
      </xdr:nvCxnSpPr>
      <xdr:spPr>
        <a:xfrm>
          <a:off x="18737036" y="2816679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</xdr:row>
      <xdr:rowOff>0</xdr:rowOff>
    </xdr:from>
    <xdr:to>
      <xdr:col>18</xdr:col>
      <xdr:colOff>773906</xdr:colOff>
      <xdr:row>10</xdr:row>
      <xdr:rowOff>11906</xdr:rowOff>
    </xdr:to>
    <xdr:cxnSp macro="">
      <xdr:nvCxnSpPr>
        <xdr:cNvPr id="159" name="直線接點 158"/>
        <xdr:cNvCxnSpPr/>
      </xdr:nvCxnSpPr>
      <xdr:spPr>
        <a:xfrm>
          <a:off x="18737036" y="2816679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23813</xdr:colOff>
      <xdr:row>10</xdr:row>
      <xdr:rowOff>0</xdr:rowOff>
    </xdr:from>
    <xdr:to>
      <xdr:col>9</xdr:col>
      <xdr:colOff>0</xdr:colOff>
      <xdr:row>11</xdr:row>
      <xdr:rowOff>11906</xdr:rowOff>
    </xdr:to>
    <xdr:cxnSp macro="">
      <xdr:nvCxnSpPr>
        <xdr:cNvPr id="160" name="直線接點 159"/>
        <xdr:cNvCxnSpPr/>
      </xdr:nvCxnSpPr>
      <xdr:spPr>
        <a:xfrm>
          <a:off x="10297206" y="3510643"/>
          <a:ext cx="779008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10</xdr:row>
      <xdr:rowOff>9525</xdr:rowOff>
    </xdr:from>
    <xdr:to>
      <xdr:col>10</xdr:col>
      <xdr:colOff>11906</xdr:colOff>
      <xdr:row>11</xdr:row>
      <xdr:rowOff>11906</xdr:rowOff>
    </xdr:to>
    <xdr:cxnSp macro="">
      <xdr:nvCxnSpPr>
        <xdr:cNvPr id="161" name="直線接點 160"/>
        <xdr:cNvCxnSpPr/>
      </xdr:nvCxnSpPr>
      <xdr:spPr>
        <a:xfrm>
          <a:off x="11056824" y="3520168"/>
          <a:ext cx="1596118" cy="696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773906</xdr:colOff>
      <xdr:row>11</xdr:row>
      <xdr:rowOff>11906</xdr:rowOff>
    </xdr:to>
    <xdr:cxnSp macro="">
      <xdr:nvCxnSpPr>
        <xdr:cNvPr id="162" name="直線接點 161"/>
        <xdr:cNvCxnSpPr/>
      </xdr:nvCxnSpPr>
      <xdr:spPr>
        <a:xfrm>
          <a:off x="12641036" y="3510643"/>
          <a:ext cx="773906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12</xdr:col>
      <xdr:colOff>11906</xdr:colOff>
      <xdr:row>11</xdr:row>
      <xdr:rowOff>11906</xdr:rowOff>
    </xdr:to>
    <xdr:cxnSp macro="">
      <xdr:nvCxnSpPr>
        <xdr:cNvPr id="163" name="直線接點 162"/>
        <xdr:cNvCxnSpPr/>
      </xdr:nvCxnSpPr>
      <xdr:spPr>
        <a:xfrm>
          <a:off x="13443857" y="3510643"/>
          <a:ext cx="1073263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10</xdr:row>
      <xdr:rowOff>11907</xdr:rowOff>
    </xdr:from>
    <xdr:to>
      <xdr:col>17</xdr:col>
      <xdr:colOff>1547812</xdr:colOff>
      <xdr:row>11</xdr:row>
      <xdr:rowOff>11906</xdr:rowOff>
    </xdr:to>
    <xdr:cxnSp macro="">
      <xdr:nvCxnSpPr>
        <xdr:cNvPr id="166" name="直線接點 165"/>
        <xdr:cNvCxnSpPr/>
      </xdr:nvCxnSpPr>
      <xdr:spPr>
        <a:xfrm>
          <a:off x="18737036" y="3522550"/>
          <a:ext cx="0" cy="6939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0</xdr:rowOff>
    </xdr:from>
    <xdr:to>
      <xdr:col>16</xdr:col>
      <xdr:colOff>11906</xdr:colOff>
      <xdr:row>11</xdr:row>
      <xdr:rowOff>11906</xdr:rowOff>
    </xdr:to>
    <xdr:cxnSp macro="">
      <xdr:nvCxnSpPr>
        <xdr:cNvPr id="167" name="直線接點 166"/>
        <xdr:cNvCxnSpPr/>
      </xdr:nvCxnSpPr>
      <xdr:spPr>
        <a:xfrm>
          <a:off x="17675679" y="3510643"/>
          <a:ext cx="1061357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0</xdr:rowOff>
    </xdr:from>
    <xdr:to>
      <xdr:col>16</xdr:col>
      <xdr:colOff>773906</xdr:colOff>
      <xdr:row>11</xdr:row>
      <xdr:rowOff>11906</xdr:rowOff>
    </xdr:to>
    <xdr:cxnSp macro="">
      <xdr:nvCxnSpPr>
        <xdr:cNvPr id="168" name="直線接點 167"/>
        <xdr:cNvCxnSpPr/>
      </xdr:nvCxnSpPr>
      <xdr:spPr>
        <a:xfrm>
          <a:off x="18737036" y="3510643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773906</xdr:colOff>
      <xdr:row>11</xdr:row>
      <xdr:rowOff>11906</xdr:rowOff>
    </xdr:to>
    <xdr:cxnSp macro="">
      <xdr:nvCxnSpPr>
        <xdr:cNvPr id="169" name="直線接點 168"/>
        <xdr:cNvCxnSpPr/>
      </xdr:nvCxnSpPr>
      <xdr:spPr>
        <a:xfrm>
          <a:off x="18737036" y="3510643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10</xdr:row>
      <xdr:rowOff>11907</xdr:rowOff>
    </xdr:from>
    <xdr:to>
      <xdr:col>17</xdr:col>
      <xdr:colOff>1547812</xdr:colOff>
      <xdr:row>11</xdr:row>
      <xdr:rowOff>11906</xdr:rowOff>
    </xdr:to>
    <xdr:cxnSp macro="">
      <xdr:nvCxnSpPr>
        <xdr:cNvPr id="199" name="直線接點 198"/>
        <xdr:cNvCxnSpPr/>
      </xdr:nvCxnSpPr>
      <xdr:spPr>
        <a:xfrm>
          <a:off x="18737036" y="4216514"/>
          <a:ext cx="0" cy="6939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11906</xdr:rowOff>
    </xdr:from>
    <xdr:to>
      <xdr:col>15</xdr:col>
      <xdr:colOff>35719</xdr:colOff>
      <xdr:row>11</xdr:row>
      <xdr:rowOff>11906</xdr:rowOff>
    </xdr:to>
    <xdr:cxnSp macro="">
      <xdr:nvCxnSpPr>
        <xdr:cNvPr id="200" name="直線接點 199"/>
        <xdr:cNvCxnSpPr/>
      </xdr:nvCxnSpPr>
      <xdr:spPr>
        <a:xfrm>
          <a:off x="16872857" y="4216513"/>
          <a:ext cx="838541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0</xdr:rowOff>
    </xdr:from>
    <xdr:to>
      <xdr:col>16</xdr:col>
      <xdr:colOff>11906</xdr:colOff>
      <xdr:row>11</xdr:row>
      <xdr:rowOff>11906</xdr:rowOff>
    </xdr:to>
    <xdr:cxnSp macro="">
      <xdr:nvCxnSpPr>
        <xdr:cNvPr id="201" name="直線接點 200"/>
        <xdr:cNvCxnSpPr/>
      </xdr:nvCxnSpPr>
      <xdr:spPr>
        <a:xfrm>
          <a:off x="17675679" y="4204607"/>
          <a:ext cx="1061357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0</xdr:rowOff>
    </xdr:from>
    <xdr:to>
      <xdr:col>16</xdr:col>
      <xdr:colOff>773906</xdr:colOff>
      <xdr:row>11</xdr:row>
      <xdr:rowOff>11906</xdr:rowOff>
    </xdr:to>
    <xdr:cxnSp macro="">
      <xdr:nvCxnSpPr>
        <xdr:cNvPr id="202" name="直線接點 201"/>
        <xdr:cNvCxnSpPr/>
      </xdr:nvCxnSpPr>
      <xdr:spPr>
        <a:xfrm>
          <a:off x="18737036" y="4204607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773906</xdr:colOff>
      <xdr:row>11</xdr:row>
      <xdr:rowOff>11906</xdr:rowOff>
    </xdr:to>
    <xdr:cxnSp macro="">
      <xdr:nvCxnSpPr>
        <xdr:cNvPr id="203" name="直線接點 202"/>
        <xdr:cNvCxnSpPr/>
      </xdr:nvCxnSpPr>
      <xdr:spPr>
        <a:xfrm>
          <a:off x="18737036" y="4204607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10</xdr:row>
      <xdr:rowOff>678656</xdr:rowOff>
    </xdr:from>
    <xdr:to>
      <xdr:col>13</xdr:col>
      <xdr:colOff>-1</xdr:colOff>
      <xdr:row>12</xdr:row>
      <xdr:rowOff>0</xdr:rowOff>
    </xdr:to>
    <xdr:cxnSp macro="">
      <xdr:nvCxnSpPr>
        <xdr:cNvPr id="208" name="直線接點 207"/>
        <xdr:cNvCxnSpPr/>
      </xdr:nvCxnSpPr>
      <xdr:spPr>
        <a:xfrm>
          <a:off x="14505214" y="4883263"/>
          <a:ext cx="802821" cy="7092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10</xdr:row>
      <xdr:rowOff>678656</xdr:rowOff>
    </xdr:from>
    <xdr:to>
      <xdr:col>14</xdr:col>
      <xdr:colOff>11906</xdr:colOff>
      <xdr:row>11</xdr:row>
      <xdr:rowOff>678656</xdr:rowOff>
    </xdr:to>
    <xdr:cxnSp macro="">
      <xdr:nvCxnSpPr>
        <xdr:cNvPr id="209" name="直線接點 208"/>
        <xdr:cNvCxnSpPr/>
      </xdr:nvCxnSpPr>
      <xdr:spPr>
        <a:xfrm>
          <a:off x="15319942" y="4883263"/>
          <a:ext cx="1564821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11</xdr:row>
      <xdr:rowOff>11907</xdr:rowOff>
    </xdr:from>
    <xdr:to>
      <xdr:col>17</xdr:col>
      <xdr:colOff>1547812</xdr:colOff>
      <xdr:row>12</xdr:row>
      <xdr:rowOff>11906</xdr:rowOff>
    </xdr:to>
    <xdr:cxnSp macro="">
      <xdr:nvCxnSpPr>
        <xdr:cNvPr id="210" name="直線接點 209"/>
        <xdr:cNvCxnSpPr/>
      </xdr:nvCxnSpPr>
      <xdr:spPr>
        <a:xfrm>
          <a:off x="18737036" y="4910478"/>
          <a:ext cx="0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11906</xdr:rowOff>
    </xdr:from>
    <xdr:to>
      <xdr:col>15</xdr:col>
      <xdr:colOff>35719</xdr:colOff>
      <xdr:row>12</xdr:row>
      <xdr:rowOff>11906</xdr:rowOff>
    </xdr:to>
    <xdr:cxnSp macro="">
      <xdr:nvCxnSpPr>
        <xdr:cNvPr id="211" name="直線接點 210"/>
        <xdr:cNvCxnSpPr/>
      </xdr:nvCxnSpPr>
      <xdr:spPr>
        <a:xfrm>
          <a:off x="16872857" y="4910477"/>
          <a:ext cx="838541" cy="693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16</xdr:col>
      <xdr:colOff>11906</xdr:colOff>
      <xdr:row>12</xdr:row>
      <xdr:rowOff>11906</xdr:rowOff>
    </xdr:to>
    <xdr:cxnSp macro="">
      <xdr:nvCxnSpPr>
        <xdr:cNvPr id="212" name="直線接點 211"/>
        <xdr:cNvCxnSpPr/>
      </xdr:nvCxnSpPr>
      <xdr:spPr>
        <a:xfrm>
          <a:off x="17675679" y="4898571"/>
          <a:ext cx="1061357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773906</xdr:colOff>
      <xdr:row>12</xdr:row>
      <xdr:rowOff>11906</xdr:rowOff>
    </xdr:to>
    <xdr:cxnSp macro="">
      <xdr:nvCxnSpPr>
        <xdr:cNvPr id="213" name="直線接點 212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773906</xdr:colOff>
      <xdr:row>12</xdr:row>
      <xdr:rowOff>11906</xdr:rowOff>
    </xdr:to>
    <xdr:cxnSp macro="">
      <xdr:nvCxnSpPr>
        <xdr:cNvPr id="214" name="直線接點 213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11</xdr:row>
      <xdr:rowOff>0</xdr:rowOff>
    </xdr:from>
    <xdr:to>
      <xdr:col>19</xdr:col>
      <xdr:colOff>952500</xdr:colOff>
      <xdr:row>12</xdr:row>
      <xdr:rowOff>0</xdr:rowOff>
    </xdr:to>
    <xdr:cxnSp macro="">
      <xdr:nvCxnSpPr>
        <xdr:cNvPr id="215" name="直線接點 214"/>
        <xdr:cNvCxnSpPr/>
      </xdr:nvCxnSpPr>
      <xdr:spPr>
        <a:xfrm>
          <a:off x="18737036" y="4898571"/>
          <a:ext cx="0" cy="693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10</xdr:row>
      <xdr:rowOff>11907</xdr:rowOff>
    </xdr:from>
    <xdr:to>
      <xdr:col>17</xdr:col>
      <xdr:colOff>1547812</xdr:colOff>
      <xdr:row>11</xdr:row>
      <xdr:rowOff>11906</xdr:rowOff>
    </xdr:to>
    <xdr:cxnSp macro="">
      <xdr:nvCxnSpPr>
        <xdr:cNvPr id="216" name="直線接點 215"/>
        <xdr:cNvCxnSpPr/>
      </xdr:nvCxnSpPr>
      <xdr:spPr>
        <a:xfrm>
          <a:off x="18737036" y="4216514"/>
          <a:ext cx="0" cy="6939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</xdr:row>
      <xdr:rowOff>0</xdr:rowOff>
    </xdr:from>
    <xdr:to>
      <xdr:col>16</xdr:col>
      <xdr:colOff>11906</xdr:colOff>
      <xdr:row>11</xdr:row>
      <xdr:rowOff>11906</xdr:rowOff>
    </xdr:to>
    <xdr:cxnSp macro="">
      <xdr:nvCxnSpPr>
        <xdr:cNvPr id="217" name="直線接點 216"/>
        <xdr:cNvCxnSpPr/>
      </xdr:nvCxnSpPr>
      <xdr:spPr>
        <a:xfrm>
          <a:off x="17675679" y="4204607"/>
          <a:ext cx="1061357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</xdr:row>
      <xdr:rowOff>0</xdr:rowOff>
    </xdr:from>
    <xdr:to>
      <xdr:col>16</xdr:col>
      <xdr:colOff>773906</xdr:colOff>
      <xdr:row>11</xdr:row>
      <xdr:rowOff>11906</xdr:rowOff>
    </xdr:to>
    <xdr:cxnSp macro="">
      <xdr:nvCxnSpPr>
        <xdr:cNvPr id="218" name="直線接點 217"/>
        <xdr:cNvCxnSpPr/>
      </xdr:nvCxnSpPr>
      <xdr:spPr>
        <a:xfrm>
          <a:off x="18737036" y="4204607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</xdr:row>
      <xdr:rowOff>0</xdr:rowOff>
    </xdr:from>
    <xdr:to>
      <xdr:col>18</xdr:col>
      <xdr:colOff>773906</xdr:colOff>
      <xdr:row>11</xdr:row>
      <xdr:rowOff>11906</xdr:rowOff>
    </xdr:to>
    <xdr:cxnSp macro="">
      <xdr:nvCxnSpPr>
        <xdr:cNvPr id="219" name="直線接點 218"/>
        <xdr:cNvCxnSpPr/>
      </xdr:nvCxnSpPr>
      <xdr:spPr>
        <a:xfrm>
          <a:off x="18737036" y="4204607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11</xdr:row>
      <xdr:rowOff>11907</xdr:rowOff>
    </xdr:from>
    <xdr:to>
      <xdr:col>17</xdr:col>
      <xdr:colOff>1547812</xdr:colOff>
      <xdr:row>12</xdr:row>
      <xdr:rowOff>11906</xdr:rowOff>
    </xdr:to>
    <xdr:cxnSp macro="">
      <xdr:nvCxnSpPr>
        <xdr:cNvPr id="224" name="直線接點 223"/>
        <xdr:cNvCxnSpPr/>
      </xdr:nvCxnSpPr>
      <xdr:spPr>
        <a:xfrm>
          <a:off x="18737036" y="4910478"/>
          <a:ext cx="0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16</xdr:col>
      <xdr:colOff>11906</xdr:colOff>
      <xdr:row>12</xdr:row>
      <xdr:rowOff>11906</xdr:rowOff>
    </xdr:to>
    <xdr:cxnSp macro="">
      <xdr:nvCxnSpPr>
        <xdr:cNvPr id="225" name="直線接點 224"/>
        <xdr:cNvCxnSpPr/>
      </xdr:nvCxnSpPr>
      <xdr:spPr>
        <a:xfrm>
          <a:off x="17675679" y="4898571"/>
          <a:ext cx="1061357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773906</xdr:colOff>
      <xdr:row>12</xdr:row>
      <xdr:rowOff>11906</xdr:rowOff>
    </xdr:to>
    <xdr:cxnSp macro="">
      <xdr:nvCxnSpPr>
        <xdr:cNvPr id="226" name="直線接點 225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773906</xdr:colOff>
      <xdr:row>12</xdr:row>
      <xdr:rowOff>11906</xdr:rowOff>
    </xdr:to>
    <xdr:cxnSp macro="">
      <xdr:nvCxnSpPr>
        <xdr:cNvPr id="227" name="直線接點 226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23813</xdr:colOff>
      <xdr:row>10</xdr:row>
      <xdr:rowOff>0</xdr:rowOff>
    </xdr:from>
    <xdr:to>
      <xdr:col>9</xdr:col>
      <xdr:colOff>0</xdr:colOff>
      <xdr:row>11</xdr:row>
      <xdr:rowOff>11906</xdr:rowOff>
    </xdr:to>
    <xdr:cxnSp macro="">
      <xdr:nvCxnSpPr>
        <xdr:cNvPr id="236" name="直線接點 235"/>
        <xdr:cNvCxnSpPr/>
      </xdr:nvCxnSpPr>
      <xdr:spPr>
        <a:xfrm>
          <a:off x="10297206" y="3510643"/>
          <a:ext cx="779008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10</xdr:row>
      <xdr:rowOff>9525</xdr:rowOff>
    </xdr:from>
    <xdr:to>
      <xdr:col>10</xdr:col>
      <xdr:colOff>11906</xdr:colOff>
      <xdr:row>11</xdr:row>
      <xdr:rowOff>11906</xdr:rowOff>
    </xdr:to>
    <xdr:cxnSp macro="">
      <xdr:nvCxnSpPr>
        <xdr:cNvPr id="237" name="直線接點 236"/>
        <xdr:cNvCxnSpPr/>
      </xdr:nvCxnSpPr>
      <xdr:spPr>
        <a:xfrm>
          <a:off x="11056824" y="3520168"/>
          <a:ext cx="1596118" cy="696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773906</xdr:colOff>
      <xdr:row>11</xdr:row>
      <xdr:rowOff>11906</xdr:rowOff>
    </xdr:to>
    <xdr:cxnSp macro="">
      <xdr:nvCxnSpPr>
        <xdr:cNvPr id="238" name="直線接點 237"/>
        <xdr:cNvCxnSpPr/>
      </xdr:nvCxnSpPr>
      <xdr:spPr>
        <a:xfrm>
          <a:off x="12641036" y="3510643"/>
          <a:ext cx="773906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12</xdr:col>
      <xdr:colOff>11906</xdr:colOff>
      <xdr:row>11</xdr:row>
      <xdr:rowOff>11906</xdr:rowOff>
    </xdr:to>
    <xdr:cxnSp macro="">
      <xdr:nvCxnSpPr>
        <xdr:cNvPr id="239" name="直線接點 238"/>
        <xdr:cNvCxnSpPr/>
      </xdr:nvCxnSpPr>
      <xdr:spPr>
        <a:xfrm>
          <a:off x="13443857" y="3510643"/>
          <a:ext cx="1073263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10</xdr:row>
      <xdr:rowOff>9525</xdr:rowOff>
    </xdr:from>
    <xdr:to>
      <xdr:col>10</xdr:col>
      <xdr:colOff>11906</xdr:colOff>
      <xdr:row>11</xdr:row>
      <xdr:rowOff>11906</xdr:rowOff>
    </xdr:to>
    <xdr:cxnSp macro="">
      <xdr:nvCxnSpPr>
        <xdr:cNvPr id="241" name="直線接點 240"/>
        <xdr:cNvCxnSpPr/>
      </xdr:nvCxnSpPr>
      <xdr:spPr>
        <a:xfrm>
          <a:off x="11056824" y="3520168"/>
          <a:ext cx="1596118" cy="696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773906</xdr:colOff>
      <xdr:row>11</xdr:row>
      <xdr:rowOff>11906</xdr:rowOff>
    </xdr:to>
    <xdr:cxnSp macro="">
      <xdr:nvCxnSpPr>
        <xdr:cNvPr id="242" name="直線接點 241"/>
        <xdr:cNvCxnSpPr/>
      </xdr:nvCxnSpPr>
      <xdr:spPr>
        <a:xfrm>
          <a:off x="12641036" y="3510643"/>
          <a:ext cx="773906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12</xdr:col>
      <xdr:colOff>11906</xdr:colOff>
      <xdr:row>11</xdr:row>
      <xdr:rowOff>11906</xdr:rowOff>
    </xdr:to>
    <xdr:cxnSp macro="">
      <xdr:nvCxnSpPr>
        <xdr:cNvPr id="243" name="直線接點 242"/>
        <xdr:cNvCxnSpPr/>
      </xdr:nvCxnSpPr>
      <xdr:spPr>
        <a:xfrm>
          <a:off x="13443857" y="3510643"/>
          <a:ext cx="1073263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11</xdr:row>
      <xdr:rowOff>11907</xdr:rowOff>
    </xdr:from>
    <xdr:to>
      <xdr:col>17</xdr:col>
      <xdr:colOff>1547812</xdr:colOff>
      <xdr:row>12</xdr:row>
      <xdr:rowOff>11906</xdr:rowOff>
    </xdr:to>
    <xdr:cxnSp macro="">
      <xdr:nvCxnSpPr>
        <xdr:cNvPr id="294" name="直線接點 293"/>
        <xdr:cNvCxnSpPr/>
      </xdr:nvCxnSpPr>
      <xdr:spPr>
        <a:xfrm>
          <a:off x="18737036" y="4910478"/>
          <a:ext cx="0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11906</xdr:rowOff>
    </xdr:from>
    <xdr:to>
      <xdr:col>15</xdr:col>
      <xdr:colOff>35719</xdr:colOff>
      <xdr:row>12</xdr:row>
      <xdr:rowOff>11906</xdr:rowOff>
    </xdr:to>
    <xdr:cxnSp macro="">
      <xdr:nvCxnSpPr>
        <xdr:cNvPr id="295" name="直線接點 294"/>
        <xdr:cNvCxnSpPr/>
      </xdr:nvCxnSpPr>
      <xdr:spPr>
        <a:xfrm>
          <a:off x="16872857" y="4910477"/>
          <a:ext cx="838541" cy="693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16</xdr:col>
      <xdr:colOff>11906</xdr:colOff>
      <xdr:row>12</xdr:row>
      <xdr:rowOff>11906</xdr:rowOff>
    </xdr:to>
    <xdr:cxnSp macro="">
      <xdr:nvCxnSpPr>
        <xdr:cNvPr id="296" name="直線接點 295"/>
        <xdr:cNvCxnSpPr/>
      </xdr:nvCxnSpPr>
      <xdr:spPr>
        <a:xfrm>
          <a:off x="17675679" y="4898571"/>
          <a:ext cx="1061357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773906</xdr:colOff>
      <xdr:row>12</xdr:row>
      <xdr:rowOff>11906</xdr:rowOff>
    </xdr:to>
    <xdr:cxnSp macro="">
      <xdr:nvCxnSpPr>
        <xdr:cNvPr id="297" name="直線接點 296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773906</xdr:colOff>
      <xdr:row>12</xdr:row>
      <xdr:rowOff>11906</xdr:rowOff>
    </xdr:to>
    <xdr:cxnSp macro="">
      <xdr:nvCxnSpPr>
        <xdr:cNvPr id="298" name="直線接點 297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11</xdr:row>
      <xdr:rowOff>11907</xdr:rowOff>
    </xdr:from>
    <xdr:to>
      <xdr:col>17</xdr:col>
      <xdr:colOff>1547812</xdr:colOff>
      <xdr:row>12</xdr:row>
      <xdr:rowOff>11906</xdr:rowOff>
    </xdr:to>
    <xdr:cxnSp macro="">
      <xdr:nvCxnSpPr>
        <xdr:cNvPr id="303" name="直線接點 302"/>
        <xdr:cNvCxnSpPr/>
      </xdr:nvCxnSpPr>
      <xdr:spPr>
        <a:xfrm>
          <a:off x="18737036" y="4910478"/>
          <a:ext cx="0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16</xdr:col>
      <xdr:colOff>11906</xdr:colOff>
      <xdr:row>12</xdr:row>
      <xdr:rowOff>11906</xdr:rowOff>
    </xdr:to>
    <xdr:cxnSp macro="">
      <xdr:nvCxnSpPr>
        <xdr:cNvPr id="304" name="直線接點 303"/>
        <xdr:cNvCxnSpPr/>
      </xdr:nvCxnSpPr>
      <xdr:spPr>
        <a:xfrm>
          <a:off x="17675679" y="4898571"/>
          <a:ext cx="1061357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773906</xdr:colOff>
      <xdr:row>12</xdr:row>
      <xdr:rowOff>11906</xdr:rowOff>
    </xdr:to>
    <xdr:cxnSp macro="">
      <xdr:nvCxnSpPr>
        <xdr:cNvPr id="305" name="直線接點 304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773906</xdr:colOff>
      <xdr:row>12</xdr:row>
      <xdr:rowOff>11906</xdr:rowOff>
    </xdr:to>
    <xdr:cxnSp macro="">
      <xdr:nvCxnSpPr>
        <xdr:cNvPr id="306" name="直線接點 305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11</xdr:row>
      <xdr:rowOff>11907</xdr:rowOff>
    </xdr:from>
    <xdr:to>
      <xdr:col>17</xdr:col>
      <xdr:colOff>1547812</xdr:colOff>
      <xdr:row>12</xdr:row>
      <xdr:rowOff>11906</xdr:rowOff>
    </xdr:to>
    <xdr:cxnSp macro="">
      <xdr:nvCxnSpPr>
        <xdr:cNvPr id="307" name="直線接點 306"/>
        <xdr:cNvCxnSpPr/>
      </xdr:nvCxnSpPr>
      <xdr:spPr>
        <a:xfrm>
          <a:off x="18737036" y="4910478"/>
          <a:ext cx="0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</xdr:row>
      <xdr:rowOff>11906</xdr:rowOff>
    </xdr:from>
    <xdr:to>
      <xdr:col>15</xdr:col>
      <xdr:colOff>35719</xdr:colOff>
      <xdr:row>12</xdr:row>
      <xdr:rowOff>11906</xdr:rowOff>
    </xdr:to>
    <xdr:cxnSp macro="">
      <xdr:nvCxnSpPr>
        <xdr:cNvPr id="308" name="直線接點 307"/>
        <xdr:cNvCxnSpPr/>
      </xdr:nvCxnSpPr>
      <xdr:spPr>
        <a:xfrm>
          <a:off x="16872857" y="4910477"/>
          <a:ext cx="838541" cy="693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16</xdr:col>
      <xdr:colOff>11906</xdr:colOff>
      <xdr:row>12</xdr:row>
      <xdr:rowOff>11906</xdr:rowOff>
    </xdr:to>
    <xdr:cxnSp macro="">
      <xdr:nvCxnSpPr>
        <xdr:cNvPr id="309" name="直線接點 308"/>
        <xdr:cNvCxnSpPr/>
      </xdr:nvCxnSpPr>
      <xdr:spPr>
        <a:xfrm>
          <a:off x="17675679" y="4898571"/>
          <a:ext cx="1061357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773906</xdr:colOff>
      <xdr:row>12</xdr:row>
      <xdr:rowOff>11906</xdr:rowOff>
    </xdr:to>
    <xdr:cxnSp macro="">
      <xdr:nvCxnSpPr>
        <xdr:cNvPr id="310" name="直線接點 309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773906</xdr:colOff>
      <xdr:row>12</xdr:row>
      <xdr:rowOff>11906</xdr:rowOff>
    </xdr:to>
    <xdr:cxnSp macro="">
      <xdr:nvCxnSpPr>
        <xdr:cNvPr id="311" name="直線接點 310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678656</xdr:rowOff>
    </xdr:from>
    <xdr:to>
      <xdr:col>13</xdr:col>
      <xdr:colOff>-1</xdr:colOff>
      <xdr:row>13</xdr:row>
      <xdr:rowOff>0</xdr:rowOff>
    </xdr:to>
    <xdr:cxnSp macro="">
      <xdr:nvCxnSpPr>
        <xdr:cNvPr id="312" name="直線接點 311"/>
        <xdr:cNvCxnSpPr/>
      </xdr:nvCxnSpPr>
      <xdr:spPr>
        <a:xfrm>
          <a:off x="14505214" y="5577227"/>
          <a:ext cx="802821" cy="7092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11</xdr:row>
      <xdr:rowOff>678656</xdr:rowOff>
    </xdr:from>
    <xdr:to>
      <xdr:col>14</xdr:col>
      <xdr:colOff>11906</xdr:colOff>
      <xdr:row>12</xdr:row>
      <xdr:rowOff>678656</xdr:rowOff>
    </xdr:to>
    <xdr:cxnSp macro="">
      <xdr:nvCxnSpPr>
        <xdr:cNvPr id="313" name="直線接點 312"/>
        <xdr:cNvCxnSpPr/>
      </xdr:nvCxnSpPr>
      <xdr:spPr>
        <a:xfrm>
          <a:off x="15319942" y="5577227"/>
          <a:ext cx="1564821" cy="6939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12</xdr:row>
      <xdr:rowOff>11907</xdr:rowOff>
    </xdr:from>
    <xdr:to>
      <xdr:col>17</xdr:col>
      <xdr:colOff>1547812</xdr:colOff>
      <xdr:row>13</xdr:row>
      <xdr:rowOff>11906</xdr:rowOff>
    </xdr:to>
    <xdr:cxnSp macro="">
      <xdr:nvCxnSpPr>
        <xdr:cNvPr id="314" name="直線接點 313"/>
        <xdr:cNvCxnSpPr/>
      </xdr:nvCxnSpPr>
      <xdr:spPr>
        <a:xfrm>
          <a:off x="18737036" y="5604443"/>
          <a:ext cx="0" cy="6939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</xdr:row>
      <xdr:rowOff>11906</xdr:rowOff>
    </xdr:from>
    <xdr:to>
      <xdr:col>15</xdr:col>
      <xdr:colOff>35719</xdr:colOff>
      <xdr:row>13</xdr:row>
      <xdr:rowOff>11906</xdr:rowOff>
    </xdr:to>
    <xdr:cxnSp macro="">
      <xdr:nvCxnSpPr>
        <xdr:cNvPr id="315" name="直線接點 314"/>
        <xdr:cNvCxnSpPr/>
      </xdr:nvCxnSpPr>
      <xdr:spPr>
        <a:xfrm>
          <a:off x="16872857" y="5604442"/>
          <a:ext cx="838541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11906</xdr:colOff>
      <xdr:row>13</xdr:row>
      <xdr:rowOff>11906</xdr:rowOff>
    </xdr:to>
    <xdr:cxnSp macro="">
      <xdr:nvCxnSpPr>
        <xdr:cNvPr id="316" name="直線接點 315"/>
        <xdr:cNvCxnSpPr/>
      </xdr:nvCxnSpPr>
      <xdr:spPr>
        <a:xfrm>
          <a:off x="17675679" y="5592536"/>
          <a:ext cx="1061357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773906</xdr:colOff>
      <xdr:row>13</xdr:row>
      <xdr:rowOff>11906</xdr:rowOff>
    </xdr:to>
    <xdr:cxnSp macro="">
      <xdr:nvCxnSpPr>
        <xdr:cNvPr id="317" name="直線接點 316"/>
        <xdr:cNvCxnSpPr/>
      </xdr:nvCxnSpPr>
      <xdr:spPr>
        <a:xfrm>
          <a:off x="18737036" y="5592536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773906</xdr:colOff>
      <xdr:row>13</xdr:row>
      <xdr:rowOff>11906</xdr:rowOff>
    </xdr:to>
    <xdr:cxnSp macro="">
      <xdr:nvCxnSpPr>
        <xdr:cNvPr id="318" name="直線接點 317"/>
        <xdr:cNvCxnSpPr/>
      </xdr:nvCxnSpPr>
      <xdr:spPr>
        <a:xfrm>
          <a:off x="18737036" y="5592536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</xdr:row>
      <xdr:rowOff>0</xdr:rowOff>
    </xdr:from>
    <xdr:to>
      <xdr:col>19</xdr:col>
      <xdr:colOff>952500</xdr:colOff>
      <xdr:row>13</xdr:row>
      <xdr:rowOff>0</xdr:rowOff>
    </xdr:to>
    <xdr:cxnSp macro="">
      <xdr:nvCxnSpPr>
        <xdr:cNvPr id="319" name="直線接點 318"/>
        <xdr:cNvCxnSpPr/>
      </xdr:nvCxnSpPr>
      <xdr:spPr>
        <a:xfrm>
          <a:off x="18737036" y="5592536"/>
          <a:ext cx="0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11</xdr:row>
      <xdr:rowOff>11907</xdr:rowOff>
    </xdr:from>
    <xdr:to>
      <xdr:col>17</xdr:col>
      <xdr:colOff>1547812</xdr:colOff>
      <xdr:row>12</xdr:row>
      <xdr:rowOff>11906</xdr:rowOff>
    </xdr:to>
    <xdr:cxnSp macro="">
      <xdr:nvCxnSpPr>
        <xdr:cNvPr id="320" name="直線接點 319"/>
        <xdr:cNvCxnSpPr/>
      </xdr:nvCxnSpPr>
      <xdr:spPr>
        <a:xfrm>
          <a:off x="18737036" y="4910478"/>
          <a:ext cx="0" cy="6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11</xdr:row>
      <xdr:rowOff>0</xdr:rowOff>
    </xdr:from>
    <xdr:to>
      <xdr:col>16</xdr:col>
      <xdr:colOff>11906</xdr:colOff>
      <xdr:row>12</xdr:row>
      <xdr:rowOff>11906</xdr:rowOff>
    </xdr:to>
    <xdr:cxnSp macro="">
      <xdr:nvCxnSpPr>
        <xdr:cNvPr id="321" name="直線接點 320"/>
        <xdr:cNvCxnSpPr/>
      </xdr:nvCxnSpPr>
      <xdr:spPr>
        <a:xfrm>
          <a:off x="17675679" y="4898571"/>
          <a:ext cx="1061357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773906</xdr:colOff>
      <xdr:row>12</xdr:row>
      <xdr:rowOff>11906</xdr:rowOff>
    </xdr:to>
    <xdr:cxnSp macro="">
      <xdr:nvCxnSpPr>
        <xdr:cNvPr id="322" name="直線接點 321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773906</xdr:colOff>
      <xdr:row>12</xdr:row>
      <xdr:rowOff>11906</xdr:rowOff>
    </xdr:to>
    <xdr:cxnSp macro="">
      <xdr:nvCxnSpPr>
        <xdr:cNvPr id="323" name="直線接點 322"/>
        <xdr:cNvCxnSpPr/>
      </xdr:nvCxnSpPr>
      <xdr:spPr>
        <a:xfrm>
          <a:off x="18737036" y="4898571"/>
          <a:ext cx="0" cy="7058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12</xdr:row>
      <xdr:rowOff>11907</xdr:rowOff>
    </xdr:from>
    <xdr:to>
      <xdr:col>17</xdr:col>
      <xdr:colOff>1547812</xdr:colOff>
      <xdr:row>13</xdr:row>
      <xdr:rowOff>11906</xdr:rowOff>
    </xdr:to>
    <xdr:cxnSp macro="">
      <xdr:nvCxnSpPr>
        <xdr:cNvPr id="324" name="直線接點 323"/>
        <xdr:cNvCxnSpPr/>
      </xdr:nvCxnSpPr>
      <xdr:spPr>
        <a:xfrm>
          <a:off x="18737036" y="5604443"/>
          <a:ext cx="0" cy="6939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11906</xdr:colOff>
      <xdr:row>13</xdr:row>
      <xdr:rowOff>11906</xdr:rowOff>
    </xdr:to>
    <xdr:cxnSp macro="">
      <xdr:nvCxnSpPr>
        <xdr:cNvPr id="325" name="直線接點 324"/>
        <xdr:cNvCxnSpPr/>
      </xdr:nvCxnSpPr>
      <xdr:spPr>
        <a:xfrm>
          <a:off x="17675679" y="5592536"/>
          <a:ext cx="1061357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773906</xdr:colOff>
      <xdr:row>13</xdr:row>
      <xdr:rowOff>11906</xdr:rowOff>
    </xdr:to>
    <xdr:cxnSp macro="">
      <xdr:nvCxnSpPr>
        <xdr:cNvPr id="326" name="直線接點 325"/>
        <xdr:cNvCxnSpPr/>
      </xdr:nvCxnSpPr>
      <xdr:spPr>
        <a:xfrm>
          <a:off x="18737036" y="5592536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773906</xdr:colOff>
      <xdr:row>13</xdr:row>
      <xdr:rowOff>11906</xdr:rowOff>
    </xdr:to>
    <xdr:cxnSp macro="">
      <xdr:nvCxnSpPr>
        <xdr:cNvPr id="327" name="直線接點 326"/>
        <xdr:cNvCxnSpPr/>
      </xdr:nvCxnSpPr>
      <xdr:spPr>
        <a:xfrm>
          <a:off x="18737036" y="5592536"/>
          <a:ext cx="0" cy="705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12</xdr:row>
      <xdr:rowOff>11907</xdr:rowOff>
    </xdr:from>
    <xdr:to>
      <xdr:col>17</xdr:col>
      <xdr:colOff>1547812</xdr:colOff>
      <xdr:row>13</xdr:row>
      <xdr:rowOff>11906</xdr:rowOff>
    </xdr:to>
    <xdr:cxnSp macro="">
      <xdr:nvCxnSpPr>
        <xdr:cNvPr id="193" name="直線接點 192"/>
        <xdr:cNvCxnSpPr/>
      </xdr:nvCxnSpPr>
      <xdr:spPr>
        <a:xfrm>
          <a:off x="18680906" y="5572126"/>
          <a:ext cx="0" cy="6905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</xdr:row>
      <xdr:rowOff>11906</xdr:rowOff>
    </xdr:from>
    <xdr:to>
      <xdr:col>15</xdr:col>
      <xdr:colOff>35719</xdr:colOff>
      <xdr:row>13</xdr:row>
      <xdr:rowOff>11906</xdr:rowOff>
    </xdr:to>
    <xdr:cxnSp macro="">
      <xdr:nvCxnSpPr>
        <xdr:cNvPr id="194" name="直線接點 193"/>
        <xdr:cNvCxnSpPr/>
      </xdr:nvCxnSpPr>
      <xdr:spPr>
        <a:xfrm>
          <a:off x="16823531" y="5572125"/>
          <a:ext cx="833438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11906</xdr:colOff>
      <xdr:row>13</xdr:row>
      <xdr:rowOff>11906</xdr:rowOff>
    </xdr:to>
    <xdr:cxnSp macro="">
      <xdr:nvCxnSpPr>
        <xdr:cNvPr id="195" name="直線接點 194"/>
        <xdr:cNvCxnSpPr/>
      </xdr:nvCxnSpPr>
      <xdr:spPr>
        <a:xfrm>
          <a:off x="17621250" y="5560219"/>
          <a:ext cx="1059656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773906</xdr:colOff>
      <xdr:row>13</xdr:row>
      <xdr:rowOff>11906</xdr:rowOff>
    </xdr:to>
    <xdr:cxnSp macro="">
      <xdr:nvCxnSpPr>
        <xdr:cNvPr id="196" name="直線接點 195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773906</xdr:colOff>
      <xdr:row>13</xdr:row>
      <xdr:rowOff>11906</xdr:rowOff>
    </xdr:to>
    <xdr:cxnSp macro="">
      <xdr:nvCxnSpPr>
        <xdr:cNvPr id="197" name="直線接點 196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12</xdr:row>
      <xdr:rowOff>11907</xdr:rowOff>
    </xdr:from>
    <xdr:to>
      <xdr:col>17</xdr:col>
      <xdr:colOff>1547812</xdr:colOff>
      <xdr:row>13</xdr:row>
      <xdr:rowOff>11906</xdr:rowOff>
    </xdr:to>
    <xdr:cxnSp macro="">
      <xdr:nvCxnSpPr>
        <xdr:cNvPr id="198" name="直線接點 197"/>
        <xdr:cNvCxnSpPr/>
      </xdr:nvCxnSpPr>
      <xdr:spPr>
        <a:xfrm>
          <a:off x="18680906" y="5572126"/>
          <a:ext cx="0" cy="6905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11906</xdr:colOff>
      <xdr:row>13</xdr:row>
      <xdr:rowOff>11906</xdr:rowOff>
    </xdr:to>
    <xdr:cxnSp macro="">
      <xdr:nvCxnSpPr>
        <xdr:cNvPr id="204" name="直線接點 203"/>
        <xdr:cNvCxnSpPr/>
      </xdr:nvCxnSpPr>
      <xdr:spPr>
        <a:xfrm>
          <a:off x="17621250" y="5560219"/>
          <a:ext cx="1059656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773906</xdr:colOff>
      <xdr:row>13</xdr:row>
      <xdr:rowOff>11906</xdr:rowOff>
    </xdr:to>
    <xdr:cxnSp macro="">
      <xdr:nvCxnSpPr>
        <xdr:cNvPr id="205" name="直線接點 204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773906</xdr:colOff>
      <xdr:row>13</xdr:row>
      <xdr:rowOff>11906</xdr:rowOff>
    </xdr:to>
    <xdr:cxnSp macro="">
      <xdr:nvCxnSpPr>
        <xdr:cNvPr id="206" name="直線接點 205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12</xdr:row>
      <xdr:rowOff>11907</xdr:rowOff>
    </xdr:from>
    <xdr:to>
      <xdr:col>17</xdr:col>
      <xdr:colOff>1547812</xdr:colOff>
      <xdr:row>13</xdr:row>
      <xdr:rowOff>11906</xdr:rowOff>
    </xdr:to>
    <xdr:cxnSp macro="">
      <xdr:nvCxnSpPr>
        <xdr:cNvPr id="207" name="直線接點 206"/>
        <xdr:cNvCxnSpPr/>
      </xdr:nvCxnSpPr>
      <xdr:spPr>
        <a:xfrm>
          <a:off x="18680906" y="5572126"/>
          <a:ext cx="0" cy="6905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</xdr:row>
      <xdr:rowOff>11906</xdr:rowOff>
    </xdr:from>
    <xdr:to>
      <xdr:col>15</xdr:col>
      <xdr:colOff>35719</xdr:colOff>
      <xdr:row>13</xdr:row>
      <xdr:rowOff>11906</xdr:rowOff>
    </xdr:to>
    <xdr:cxnSp macro="">
      <xdr:nvCxnSpPr>
        <xdr:cNvPr id="220" name="直線接點 219"/>
        <xdr:cNvCxnSpPr/>
      </xdr:nvCxnSpPr>
      <xdr:spPr>
        <a:xfrm>
          <a:off x="16823531" y="5572125"/>
          <a:ext cx="833438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11906</xdr:colOff>
      <xdr:row>13</xdr:row>
      <xdr:rowOff>11906</xdr:rowOff>
    </xdr:to>
    <xdr:cxnSp macro="">
      <xdr:nvCxnSpPr>
        <xdr:cNvPr id="221" name="直線接點 220"/>
        <xdr:cNvCxnSpPr/>
      </xdr:nvCxnSpPr>
      <xdr:spPr>
        <a:xfrm>
          <a:off x="17621250" y="5560219"/>
          <a:ext cx="1059656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773906</xdr:colOff>
      <xdr:row>13</xdr:row>
      <xdr:rowOff>11906</xdr:rowOff>
    </xdr:to>
    <xdr:cxnSp macro="">
      <xdr:nvCxnSpPr>
        <xdr:cNvPr id="222" name="直線接點 221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773906</xdr:colOff>
      <xdr:row>13</xdr:row>
      <xdr:rowOff>11906</xdr:rowOff>
    </xdr:to>
    <xdr:cxnSp macro="">
      <xdr:nvCxnSpPr>
        <xdr:cNvPr id="223" name="直線接點 222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12</xdr:row>
      <xdr:rowOff>11907</xdr:rowOff>
    </xdr:from>
    <xdr:to>
      <xdr:col>17</xdr:col>
      <xdr:colOff>1547812</xdr:colOff>
      <xdr:row>13</xdr:row>
      <xdr:rowOff>11906</xdr:rowOff>
    </xdr:to>
    <xdr:cxnSp macro="">
      <xdr:nvCxnSpPr>
        <xdr:cNvPr id="228" name="直線接點 227"/>
        <xdr:cNvCxnSpPr/>
      </xdr:nvCxnSpPr>
      <xdr:spPr>
        <a:xfrm>
          <a:off x="18680906" y="5572126"/>
          <a:ext cx="0" cy="6905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11906</xdr:colOff>
      <xdr:row>13</xdr:row>
      <xdr:rowOff>11906</xdr:rowOff>
    </xdr:to>
    <xdr:cxnSp macro="">
      <xdr:nvCxnSpPr>
        <xdr:cNvPr id="229" name="直線接點 228"/>
        <xdr:cNvCxnSpPr/>
      </xdr:nvCxnSpPr>
      <xdr:spPr>
        <a:xfrm>
          <a:off x="17621250" y="5560219"/>
          <a:ext cx="1059656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773906</xdr:colOff>
      <xdr:row>13</xdr:row>
      <xdr:rowOff>11906</xdr:rowOff>
    </xdr:to>
    <xdr:cxnSp macro="">
      <xdr:nvCxnSpPr>
        <xdr:cNvPr id="230" name="直線接點 229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773906</xdr:colOff>
      <xdr:row>13</xdr:row>
      <xdr:rowOff>11906</xdr:rowOff>
    </xdr:to>
    <xdr:cxnSp macro="">
      <xdr:nvCxnSpPr>
        <xdr:cNvPr id="231" name="直線接點 230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12</xdr:row>
      <xdr:rowOff>11907</xdr:rowOff>
    </xdr:from>
    <xdr:to>
      <xdr:col>17</xdr:col>
      <xdr:colOff>1547812</xdr:colOff>
      <xdr:row>13</xdr:row>
      <xdr:rowOff>11906</xdr:rowOff>
    </xdr:to>
    <xdr:cxnSp macro="">
      <xdr:nvCxnSpPr>
        <xdr:cNvPr id="232" name="直線接點 231"/>
        <xdr:cNvCxnSpPr/>
      </xdr:nvCxnSpPr>
      <xdr:spPr>
        <a:xfrm>
          <a:off x="18680906" y="5572126"/>
          <a:ext cx="0" cy="6905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</xdr:row>
      <xdr:rowOff>11906</xdr:rowOff>
    </xdr:from>
    <xdr:to>
      <xdr:col>15</xdr:col>
      <xdr:colOff>35719</xdr:colOff>
      <xdr:row>13</xdr:row>
      <xdr:rowOff>11906</xdr:rowOff>
    </xdr:to>
    <xdr:cxnSp macro="">
      <xdr:nvCxnSpPr>
        <xdr:cNvPr id="233" name="直線接點 232"/>
        <xdr:cNvCxnSpPr/>
      </xdr:nvCxnSpPr>
      <xdr:spPr>
        <a:xfrm>
          <a:off x="16823531" y="5572125"/>
          <a:ext cx="833438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11906</xdr:colOff>
      <xdr:row>13</xdr:row>
      <xdr:rowOff>11906</xdr:rowOff>
    </xdr:to>
    <xdr:cxnSp macro="">
      <xdr:nvCxnSpPr>
        <xdr:cNvPr id="234" name="直線接點 233"/>
        <xdr:cNvCxnSpPr/>
      </xdr:nvCxnSpPr>
      <xdr:spPr>
        <a:xfrm>
          <a:off x="17621250" y="5560219"/>
          <a:ext cx="1059656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773906</xdr:colOff>
      <xdr:row>13</xdr:row>
      <xdr:rowOff>11906</xdr:rowOff>
    </xdr:to>
    <xdr:cxnSp macro="">
      <xdr:nvCxnSpPr>
        <xdr:cNvPr id="235" name="直線接點 234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773906</xdr:colOff>
      <xdr:row>13</xdr:row>
      <xdr:rowOff>11906</xdr:rowOff>
    </xdr:to>
    <xdr:cxnSp macro="">
      <xdr:nvCxnSpPr>
        <xdr:cNvPr id="244" name="直線接點 243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678656</xdr:rowOff>
    </xdr:from>
    <xdr:to>
      <xdr:col>13</xdr:col>
      <xdr:colOff>-1</xdr:colOff>
      <xdr:row>14</xdr:row>
      <xdr:rowOff>0</xdr:rowOff>
    </xdr:to>
    <xdr:cxnSp macro="">
      <xdr:nvCxnSpPr>
        <xdr:cNvPr id="245" name="直線接點 244"/>
        <xdr:cNvCxnSpPr/>
      </xdr:nvCxnSpPr>
      <xdr:spPr>
        <a:xfrm>
          <a:off x="14466094" y="6238875"/>
          <a:ext cx="797718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12</xdr:row>
      <xdr:rowOff>678656</xdr:rowOff>
    </xdr:from>
    <xdr:to>
      <xdr:col>14</xdr:col>
      <xdr:colOff>11906</xdr:colOff>
      <xdr:row>13</xdr:row>
      <xdr:rowOff>678656</xdr:rowOff>
    </xdr:to>
    <xdr:cxnSp macro="">
      <xdr:nvCxnSpPr>
        <xdr:cNvPr id="246" name="直線接點 245"/>
        <xdr:cNvCxnSpPr/>
      </xdr:nvCxnSpPr>
      <xdr:spPr>
        <a:xfrm>
          <a:off x="15275719" y="6238875"/>
          <a:ext cx="1559718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13</xdr:row>
      <xdr:rowOff>11907</xdr:rowOff>
    </xdr:from>
    <xdr:to>
      <xdr:col>17</xdr:col>
      <xdr:colOff>1547812</xdr:colOff>
      <xdr:row>14</xdr:row>
      <xdr:rowOff>11906</xdr:rowOff>
    </xdr:to>
    <xdr:cxnSp macro="">
      <xdr:nvCxnSpPr>
        <xdr:cNvPr id="247" name="直線接點 246"/>
        <xdr:cNvCxnSpPr/>
      </xdr:nvCxnSpPr>
      <xdr:spPr>
        <a:xfrm>
          <a:off x="18680906" y="6262688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11906</xdr:rowOff>
    </xdr:from>
    <xdr:to>
      <xdr:col>15</xdr:col>
      <xdr:colOff>35719</xdr:colOff>
      <xdr:row>14</xdr:row>
      <xdr:rowOff>11906</xdr:rowOff>
    </xdr:to>
    <xdr:cxnSp macro="">
      <xdr:nvCxnSpPr>
        <xdr:cNvPr id="248" name="直線接點 247"/>
        <xdr:cNvCxnSpPr/>
      </xdr:nvCxnSpPr>
      <xdr:spPr>
        <a:xfrm>
          <a:off x="16823531" y="6262687"/>
          <a:ext cx="833438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11906</xdr:colOff>
      <xdr:row>14</xdr:row>
      <xdr:rowOff>11906</xdr:rowOff>
    </xdr:to>
    <xdr:cxnSp macro="">
      <xdr:nvCxnSpPr>
        <xdr:cNvPr id="249" name="直線接點 248"/>
        <xdr:cNvCxnSpPr/>
      </xdr:nvCxnSpPr>
      <xdr:spPr>
        <a:xfrm>
          <a:off x="17621250" y="6250781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773906</xdr:colOff>
      <xdr:row>14</xdr:row>
      <xdr:rowOff>11906</xdr:rowOff>
    </xdr:to>
    <xdr:cxnSp macro="">
      <xdr:nvCxnSpPr>
        <xdr:cNvPr id="250" name="直線接點 249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773906</xdr:colOff>
      <xdr:row>14</xdr:row>
      <xdr:rowOff>11906</xdr:rowOff>
    </xdr:to>
    <xdr:cxnSp macro="">
      <xdr:nvCxnSpPr>
        <xdr:cNvPr id="251" name="直線接點 250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952500</xdr:colOff>
      <xdr:row>14</xdr:row>
      <xdr:rowOff>0</xdr:rowOff>
    </xdr:to>
    <xdr:cxnSp macro="">
      <xdr:nvCxnSpPr>
        <xdr:cNvPr id="252" name="直線接點 251"/>
        <xdr:cNvCxnSpPr/>
      </xdr:nvCxnSpPr>
      <xdr:spPr>
        <a:xfrm>
          <a:off x="18680906" y="6250781"/>
          <a:ext cx="0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12</xdr:row>
      <xdr:rowOff>11907</xdr:rowOff>
    </xdr:from>
    <xdr:to>
      <xdr:col>17</xdr:col>
      <xdr:colOff>1547812</xdr:colOff>
      <xdr:row>13</xdr:row>
      <xdr:rowOff>11906</xdr:rowOff>
    </xdr:to>
    <xdr:cxnSp macro="">
      <xdr:nvCxnSpPr>
        <xdr:cNvPr id="253" name="直線接點 252"/>
        <xdr:cNvCxnSpPr/>
      </xdr:nvCxnSpPr>
      <xdr:spPr>
        <a:xfrm>
          <a:off x="18680906" y="5572126"/>
          <a:ext cx="0" cy="6905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11906</xdr:colOff>
      <xdr:row>13</xdr:row>
      <xdr:rowOff>11906</xdr:rowOff>
    </xdr:to>
    <xdr:cxnSp macro="">
      <xdr:nvCxnSpPr>
        <xdr:cNvPr id="254" name="直線接點 253"/>
        <xdr:cNvCxnSpPr/>
      </xdr:nvCxnSpPr>
      <xdr:spPr>
        <a:xfrm>
          <a:off x="17621250" y="5560219"/>
          <a:ext cx="1059656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773906</xdr:colOff>
      <xdr:row>13</xdr:row>
      <xdr:rowOff>11906</xdr:rowOff>
    </xdr:to>
    <xdr:cxnSp macro="">
      <xdr:nvCxnSpPr>
        <xdr:cNvPr id="255" name="直線接點 254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0</xdr:rowOff>
    </xdr:from>
    <xdr:to>
      <xdr:col>18</xdr:col>
      <xdr:colOff>773906</xdr:colOff>
      <xdr:row>13</xdr:row>
      <xdr:rowOff>11906</xdr:rowOff>
    </xdr:to>
    <xdr:cxnSp macro="">
      <xdr:nvCxnSpPr>
        <xdr:cNvPr id="256" name="直線接點 255"/>
        <xdr:cNvCxnSpPr/>
      </xdr:nvCxnSpPr>
      <xdr:spPr>
        <a:xfrm>
          <a:off x="18680906" y="5560219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13</xdr:row>
      <xdr:rowOff>11907</xdr:rowOff>
    </xdr:from>
    <xdr:to>
      <xdr:col>17</xdr:col>
      <xdr:colOff>1547812</xdr:colOff>
      <xdr:row>14</xdr:row>
      <xdr:rowOff>11906</xdr:rowOff>
    </xdr:to>
    <xdr:cxnSp macro="">
      <xdr:nvCxnSpPr>
        <xdr:cNvPr id="257" name="直線接點 256"/>
        <xdr:cNvCxnSpPr/>
      </xdr:nvCxnSpPr>
      <xdr:spPr>
        <a:xfrm>
          <a:off x="18680906" y="6262688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11906</xdr:colOff>
      <xdr:row>14</xdr:row>
      <xdr:rowOff>11906</xdr:rowOff>
    </xdr:to>
    <xdr:cxnSp macro="">
      <xdr:nvCxnSpPr>
        <xdr:cNvPr id="258" name="直線接點 257"/>
        <xdr:cNvCxnSpPr/>
      </xdr:nvCxnSpPr>
      <xdr:spPr>
        <a:xfrm>
          <a:off x="17621250" y="6250781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773906</xdr:colOff>
      <xdr:row>14</xdr:row>
      <xdr:rowOff>11906</xdr:rowOff>
    </xdr:to>
    <xdr:cxnSp macro="">
      <xdr:nvCxnSpPr>
        <xdr:cNvPr id="259" name="直線接點 258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773906</xdr:colOff>
      <xdr:row>14</xdr:row>
      <xdr:rowOff>11906</xdr:rowOff>
    </xdr:to>
    <xdr:cxnSp macro="">
      <xdr:nvCxnSpPr>
        <xdr:cNvPr id="260" name="直線接點 259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13</xdr:row>
      <xdr:rowOff>11907</xdr:rowOff>
    </xdr:from>
    <xdr:to>
      <xdr:col>17</xdr:col>
      <xdr:colOff>1547812</xdr:colOff>
      <xdr:row>14</xdr:row>
      <xdr:rowOff>11906</xdr:rowOff>
    </xdr:to>
    <xdr:cxnSp macro="">
      <xdr:nvCxnSpPr>
        <xdr:cNvPr id="286" name="直線接點 285"/>
        <xdr:cNvCxnSpPr/>
      </xdr:nvCxnSpPr>
      <xdr:spPr>
        <a:xfrm>
          <a:off x="18680906" y="6262688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11906</xdr:rowOff>
    </xdr:from>
    <xdr:to>
      <xdr:col>15</xdr:col>
      <xdr:colOff>35719</xdr:colOff>
      <xdr:row>14</xdr:row>
      <xdr:rowOff>11906</xdr:rowOff>
    </xdr:to>
    <xdr:cxnSp macro="">
      <xdr:nvCxnSpPr>
        <xdr:cNvPr id="287" name="直線接點 286"/>
        <xdr:cNvCxnSpPr/>
      </xdr:nvCxnSpPr>
      <xdr:spPr>
        <a:xfrm>
          <a:off x="16823531" y="6262687"/>
          <a:ext cx="833438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11906</xdr:colOff>
      <xdr:row>14</xdr:row>
      <xdr:rowOff>11906</xdr:rowOff>
    </xdr:to>
    <xdr:cxnSp macro="">
      <xdr:nvCxnSpPr>
        <xdr:cNvPr id="288" name="直線接點 287"/>
        <xdr:cNvCxnSpPr/>
      </xdr:nvCxnSpPr>
      <xdr:spPr>
        <a:xfrm>
          <a:off x="17621250" y="6250781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773906</xdr:colOff>
      <xdr:row>14</xdr:row>
      <xdr:rowOff>11906</xdr:rowOff>
    </xdr:to>
    <xdr:cxnSp macro="">
      <xdr:nvCxnSpPr>
        <xdr:cNvPr id="289" name="直線接點 288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773906</xdr:colOff>
      <xdr:row>14</xdr:row>
      <xdr:rowOff>11906</xdr:rowOff>
    </xdr:to>
    <xdr:cxnSp macro="">
      <xdr:nvCxnSpPr>
        <xdr:cNvPr id="290" name="直線接點 289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13</xdr:row>
      <xdr:rowOff>11907</xdr:rowOff>
    </xdr:from>
    <xdr:to>
      <xdr:col>17</xdr:col>
      <xdr:colOff>1547812</xdr:colOff>
      <xdr:row>14</xdr:row>
      <xdr:rowOff>11906</xdr:rowOff>
    </xdr:to>
    <xdr:cxnSp macro="">
      <xdr:nvCxnSpPr>
        <xdr:cNvPr id="291" name="直線接點 290"/>
        <xdr:cNvCxnSpPr/>
      </xdr:nvCxnSpPr>
      <xdr:spPr>
        <a:xfrm>
          <a:off x="18680906" y="6262688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11906</xdr:colOff>
      <xdr:row>14</xdr:row>
      <xdr:rowOff>11906</xdr:rowOff>
    </xdr:to>
    <xdr:cxnSp macro="">
      <xdr:nvCxnSpPr>
        <xdr:cNvPr id="292" name="直線接點 291"/>
        <xdr:cNvCxnSpPr/>
      </xdr:nvCxnSpPr>
      <xdr:spPr>
        <a:xfrm>
          <a:off x="17621250" y="6250781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773906</xdr:colOff>
      <xdr:row>14</xdr:row>
      <xdr:rowOff>11906</xdr:rowOff>
    </xdr:to>
    <xdr:cxnSp macro="">
      <xdr:nvCxnSpPr>
        <xdr:cNvPr id="293" name="直線接點 292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773906</xdr:colOff>
      <xdr:row>14</xdr:row>
      <xdr:rowOff>11906</xdr:rowOff>
    </xdr:to>
    <xdr:cxnSp macro="">
      <xdr:nvCxnSpPr>
        <xdr:cNvPr id="299" name="直線接點 298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13</xdr:row>
      <xdr:rowOff>11907</xdr:rowOff>
    </xdr:from>
    <xdr:to>
      <xdr:col>17</xdr:col>
      <xdr:colOff>1547812</xdr:colOff>
      <xdr:row>14</xdr:row>
      <xdr:rowOff>11906</xdr:rowOff>
    </xdr:to>
    <xdr:cxnSp macro="">
      <xdr:nvCxnSpPr>
        <xdr:cNvPr id="300" name="直線接點 299"/>
        <xdr:cNvCxnSpPr/>
      </xdr:nvCxnSpPr>
      <xdr:spPr>
        <a:xfrm>
          <a:off x="18680906" y="6262688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11906</xdr:rowOff>
    </xdr:from>
    <xdr:to>
      <xdr:col>15</xdr:col>
      <xdr:colOff>35719</xdr:colOff>
      <xdr:row>14</xdr:row>
      <xdr:rowOff>11906</xdr:rowOff>
    </xdr:to>
    <xdr:cxnSp macro="">
      <xdr:nvCxnSpPr>
        <xdr:cNvPr id="301" name="直線接點 300"/>
        <xdr:cNvCxnSpPr/>
      </xdr:nvCxnSpPr>
      <xdr:spPr>
        <a:xfrm>
          <a:off x="16823531" y="6262687"/>
          <a:ext cx="833438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11906</xdr:colOff>
      <xdr:row>14</xdr:row>
      <xdr:rowOff>11906</xdr:rowOff>
    </xdr:to>
    <xdr:cxnSp macro="">
      <xdr:nvCxnSpPr>
        <xdr:cNvPr id="302" name="直線接點 301"/>
        <xdr:cNvCxnSpPr/>
      </xdr:nvCxnSpPr>
      <xdr:spPr>
        <a:xfrm>
          <a:off x="17621250" y="6250781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773906</xdr:colOff>
      <xdr:row>14</xdr:row>
      <xdr:rowOff>11906</xdr:rowOff>
    </xdr:to>
    <xdr:cxnSp macro="">
      <xdr:nvCxnSpPr>
        <xdr:cNvPr id="328" name="直線接點 327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773906</xdr:colOff>
      <xdr:row>14</xdr:row>
      <xdr:rowOff>11906</xdr:rowOff>
    </xdr:to>
    <xdr:cxnSp macro="">
      <xdr:nvCxnSpPr>
        <xdr:cNvPr id="329" name="直線接點 328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13</xdr:row>
      <xdr:rowOff>11907</xdr:rowOff>
    </xdr:from>
    <xdr:to>
      <xdr:col>17</xdr:col>
      <xdr:colOff>1547812</xdr:colOff>
      <xdr:row>14</xdr:row>
      <xdr:rowOff>11906</xdr:rowOff>
    </xdr:to>
    <xdr:cxnSp macro="">
      <xdr:nvCxnSpPr>
        <xdr:cNvPr id="330" name="直線接點 329"/>
        <xdr:cNvCxnSpPr/>
      </xdr:nvCxnSpPr>
      <xdr:spPr>
        <a:xfrm>
          <a:off x="18680906" y="6262688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11906</xdr:colOff>
      <xdr:row>14</xdr:row>
      <xdr:rowOff>11906</xdr:rowOff>
    </xdr:to>
    <xdr:cxnSp macro="">
      <xdr:nvCxnSpPr>
        <xdr:cNvPr id="331" name="直線接點 330"/>
        <xdr:cNvCxnSpPr/>
      </xdr:nvCxnSpPr>
      <xdr:spPr>
        <a:xfrm>
          <a:off x="17621250" y="6250781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773906</xdr:colOff>
      <xdr:row>14</xdr:row>
      <xdr:rowOff>11906</xdr:rowOff>
    </xdr:to>
    <xdr:cxnSp macro="">
      <xdr:nvCxnSpPr>
        <xdr:cNvPr id="332" name="直線接點 331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773906</xdr:colOff>
      <xdr:row>14</xdr:row>
      <xdr:rowOff>11906</xdr:rowOff>
    </xdr:to>
    <xdr:cxnSp macro="">
      <xdr:nvCxnSpPr>
        <xdr:cNvPr id="333" name="直線接點 332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13</xdr:row>
      <xdr:rowOff>11907</xdr:rowOff>
    </xdr:from>
    <xdr:to>
      <xdr:col>17</xdr:col>
      <xdr:colOff>1547812</xdr:colOff>
      <xdr:row>14</xdr:row>
      <xdr:rowOff>11906</xdr:rowOff>
    </xdr:to>
    <xdr:cxnSp macro="">
      <xdr:nvCxnSpPr>
        <xdr:cNvPr id="334" name="直線接點 333"/>
        <xdr:cNvCxnSpPr/>
      </xdr:nvCxnSpPr>
      <xdr:spPr>
        <a:xfrm>
          <a:off x="18680906" y="6262688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11906</xdr:rowOff>
    </xdr:from>
    <xdr:to>
      <xdr:col>15</xdr:col>
      <xdr:colOff>35719</xdr:colOff>
      <xdr:row>14</xdr:row>
      <xdr:rowOff>11906</xdr:rowOff>
    </xdr:to>
    <xdr:cxnSp macro="">
      <xdr:nvCxnSpPr>
        <xdr:cNvPr id="335" name="直線接點 334"/>
        <xdr:cNvCxnSpPr/>
      </xdr:nvCxnSpPr>
      <xdr:spPr>
        <a:xfrm>
          <a:off x="16823531" y="6262687"/>
          <a:ext cx="833438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11906</xdr:colOff>
      <xdr:row>14</xdr:row>
      <xdr:rowOff>11906</xdr:rowOff>
    </xdr:to>
    <xdr:cxnSp macro="">
      <xdr:nvCxnSpPr>
        <xdr:cNvPr id="336" name="直線接點 335"/>
        <xdr:cNvCxnSpPr/>
      </xdr:nvCxnSpPr>
      <xdr:spPr>
        <a:xfrm>
          <a:off x="17621250" y="6250781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773906</xdr:colOff>
      <xdr:row>14</xdr:row>
      <xdr:rowOff>11906</xdr:rowOff>
    </xdr:to>
    <xdr:cxnSp macro="">
      <xdr:nvCxnSpPr>
        <xdr:cNvPr id="337" name="直線接點 336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773906</xdr:colOff>
      <xdr:row>14</xdr:row>
      <xdr:rowOff>11906</xdr:rowOff>
    </xdr:to>
    <xdr:cxnSp macro="">
      <xdr:nvCxnSpPr>
        <xdr:cNvPr id="338" name="直線接點 337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13</xdr:row>
      <xdr:rowOff>11907</xdr:rowOff>
    </xdr:from>
    <xdr:to>
      <xdr:col>17</xdr:col>
      <xdr:colOff>1547812</xdr:colOff>
      <xdr:row>14</xdr:row>
      <xdr:rowOff>11906</xdr:rowOff>
    </xdr:to>
    <xdr:cxnSp macro="">
      <xdr:nvCxnSpPr>
        <xdr:cNvPr id="339" name="直線接點 338"/>
        <xdr:cNvCxnSpPr/>
      </xdr:nvCxnSpPr>
      <xdr:spPr>
        <a:xfrm>
          <a:off x="18680906" y="6262688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11906</xdr:colOff>
      <xdr:row>14</xdr:row>
      <xdr:rowOff>11906</xdr:rowOff>
    </xdr:to>
    <xdr:cxnSp macro="">
      <xdr:nvCxnSpPr>
        <xdr:cNvPr id="340" name="直線接點 339"/>
        <xdr:cNvCxnSpPr/>
      </xdr:nvCxnSpPr>
      <xdr:spPr>
        <a:xfrm>
          <a:off x="17621250" y="6250781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773906</xdr:colOff>
      <xdr:row>14</xdr:row>
      <xdr:rowOff>11906</xdr:rowOff>
    </xdr:to>
    <xdr:cxnSp macro="">
      <xdr:nvCxnSpPr>
        <xdr:cNvPr id="341" name="直線接點 340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773906</xdr:colOff>
      <xdr:row>14</xdr:row>
      <xdr:rowOff>11906</xdr:rowOff>
    </xdr:to>
    <xdr:cxnSp macro="">
      <xdr:nvCxnSpPr>
        <xdr:cNvPr id="342" name="直線接點 341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13</xdr:row>
      <xdr:rowOff>11907</xdr:rowOff>
    </xdr:from>
    <xdr:to>
      <xdr:col>17</xdr:col>
      <xdr:colOff>1547812</xdr:colOff>
      <xdr:row>14</xdr:row>
      <xdr:rowOff>11906</xdr:rowOff>
    </xdr:to>
    <xdr:cxnSp macro="">
      <xdr:nvCxnSpPr>
        <xdr:cNvPr id="343" name="直線接點 342"/>
        <xdr:cNvCxnSpPr/>
      </xdr:nvCxnSpPr>
      <xdr:spPr>
        <a:xfrm>
          <a:off x="18680906" y="6262688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11906</xdr:rowOff>
    </xdr:from>
    <xdr:to>
      <xdr:col>15</xdr:col>
      <xdr:colOff>35719</xdr:colOff>
      <xdr:row>14</xdr:row>
      <xdr:rowOff>11906</xdr:rowOff>
    </xdr:to>
    <xdr:cxnSp macro="">
      <xdr:nvCxnSpPr>
        <xdr:cNvPr id="344" name="直線接點 343"/>
        <xdr:cNvCxnSpPr/>
      </xdr:nvCxnSpPr>
      <xdr:spPr>
        <a:xfrm>
          <a:off x="16823531" y="6262687"/>
          <a:ext cx="833438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11906</xdr:colOff>
      <xdr:row>14</xdr:row>
      <xdr:rowOff>11906</xdr:rowOff>
    </xdr:to>
    <xdr:cxnSp macro="">
      <xdr:nvCxnSpPr>
        <xdr:cNvPr id="345" name="直線接點 344"/>
        <xdr:cNvCxnSpPr/>
      </xdr:nvCxnSpPr>
      <xdr:spPr>
        <a:xfrm>
          <a:off x="17621250" y="6250781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773906</xdr:colOff>
      <xdr:row>14</xdr:row>
      <xdr:rowOff>11906</xdr:rowOff>
    </xdr:to>
    <xdr:cxnSp macro="">
      <xdr:nvCxnSpPr>
        <xdr:cNvPr id="346" name="直線接點 345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773906</xdr:colOff>
      <xdr:row>14</xdr:row>
      <xdr:rowOff>11906</xdr:rowOff>
    </xdr:to>
    <xdr:cxnSp macro="">
      <xdr:nvCxnSpPr>
        <xdr:cNvPr id="347" name="直線接點 346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678656</xdr:rowOff>
    </xdr:from>
    <xdr:to>
      <xdr:col>13</xdr:col>
      <xdr:colOff>-1</xdr:colOff>
      <xdr:row>15</xdr:row>
      <xdr:rowOff>0</xdr:rowOff>
    </xdr:to>
    <xdr:cxnSp macro="">
      <xdr:nvCxnSpPr>
        <xdr:cNvPr id="348" name="直線接點 347"/>
        <xdr:cNvCxnSpPr/>
      </xdr:nvCxnSpPr>
      <xdr:spPr>
        <a:xfrm>
          <a:off x="14466094" y="6929437"/>
          <a:ext cx="797718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13</xdr:row>
      <xdr:rowOff>678656</xdr:rowOff>
    </xdr:from>
    <xdr:to>
      <xdr:col>14</xdr:col>
      <xdr:colOff>11906</xdr:colOff>
      <xdr:row>14</xdr:row>
      <xdr:rowOff>678656</xdr:rowOff>
    </xdr:to>
    <xdr:cxnSp macro="">
      <xdr:nvCxnSpPr>
        <xdr:cNvPr id="349" name="直線接點 348"/>
        <xdr:cNvCxnSpPr/>
      </xdr:nvCxnSpPr>
      <xdr:spPr>
        <a:xfrm>
          <a:off x="15275719" y="6929437"/>
          <a:ext cx="1559718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14</xdr:row>
      <xdr:rowOff>11907</xdr:rowOff>
    </xdr:from>
    <xdr:to>
      <xdr:col>17</xdr:col>
      <xdr:colOff>1547812</xdr:colOff>
      <xdr:row>15</xdr:row>
      <xdr:rowOff>11906</xdr:rowOff>
    </xdr:to>
    <xdr:cxnSp macro="">
      <xdr:nvCxnSpPr>
        <xdr:cNvPr id="350" name="直線接點 349"/>
        <xdr:cNvCxnSpPr/>
      </xdr:nvCxnSpPr>
      <xdr:spPr>
        <a:xfrm>
          <a:off x="18680906" y="6953251"/>
          <a:ext cx="0" cy="6905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</xdr:row>
      <xdr:rowOff>11906</xdr:rowOff>
    </xdr:from>
    <xdr:to>
      <xdr:col>15</xdr:col>
      <xdr:colOff>35719</xdr:colOff>
      <xdr:row>15</xdr:row>
      <xdr:rowOff>11906</xdr:rowOff>
    </xdr:to>
    <xdr:cxnSp macro="">
      <xdr:nvCxnSpPr>
        <xdr:cNvPr id="351" name="直線接點 350"/>
        <xdr:cNvCxnSpPr/>
      </xdr:nvCxnSpPr>
      <xdr:spPr>
        <a:xfrm>
          <a:off x="16823531" y="6953250"/>
          <a:ext cx="833438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0</xdr:rowOff>
    </xdr:from>
    <xdr:to>
      <xdr:col>16</xdr:col>
      <xdr:colOff>11906</xdr:colOff>
      <xdr:row>15</xdr:row>
      <xdr:rowOff>11906</xdr:rowOff>
    </xdr:to>
    <xdr:cxnSp macro="">
      <xdr:nvCxnSpPr>
        <xdr:cNvPr id="352" name="直線接點 351"/>
        <xdr:cNvCxnSpPr/>
      </xdr:nvCxnSpPr>
      <xdr:spPr>
        <a:xfrm>
          <a:off x="17621250" y="6941344"/>
          <a:ext cx="1059656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773906</xdr:colOff>
      <xdr:row>15</xdr:row>
      <xdr:rowOff>11906</xdr:rowOff>
    </xdr:to>
    <xdr:cxnSp macro="">
      <xdr:nvCxnSpPr>
        <xdr:cNvPr id="353" name="直線接點 352"/>
        <xdr:cNvCxnSpPr/>
      </xdr:nvCxnSpPr>
      <xdr:spPr>
        <a:xfrm>
          <a:off x="18680906" y="6941344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</xdr:row>
      <xdr:rowOff>0</xdr:rowOff>
    </xdr:from>
    <xdr:to>
      <xdr:col>18</xdr:col>
      <xdr:colOff>773906</xdr:colOff>
      <xdr:row>15</xdr:row>
      <xdr:rowOff>11906</xdr:rowOff>
    </xdr:to>
    <xdr:cxnSp macro="">
      <xdr:nvCxnSpPr>
        <xdr:cNvPr id="354" name="直線接點 353"/>
        <xdr:cNvCxnSpPr/>
      </xdr:nvCxnSpPr>
      <xdr:spPr>
        <a:xfrm>
          <a:off x="18680906" y="6941344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0</xdr:rowOff>
    </xdr:from>
    <xdr:to>
      <xdr:col>19</xdr:col>
      <xdr:colOff>952500</xdr:colOff>
      <xdr:row>15</xdr:row>
      <xdr:rowOff>0</xdr:rowOff>
    </xdr:to>
    <xdr:cxnSp macro="">
      <xdr:nvCxnSpPr>
        <xdr:cNvPr id="355" name="直線接點 354"/>
        <xdr:cNvCxnSpPr/>
      </xdr:nvCxnSpPr>
      <xdr:spPr>
        <a:xfrm>
          <a:off x="18680906" y="6941344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13</xdr:row>
      <xdr:rowOff>11907</xdr:rowOff>
    </xdr:from>
    <xdr:to>
      <xdr:col>17</xdr:col>
      <xdr:colOff>1547812</xdr:colOff>
      <xdr:row>14</xdr:row>
      <xdr:rowOff>11906</xdr:rowOff>
    </xdr:to>
    <xdr:cxnSp macro="">
      <xdr:nvCxnSpPr>
        <xdr:cNvPr id="356" name="直線接點 355"/>
        <xdr:cNvCxnSpPr/>
      </xdr:nvCxnSpPr>
      <xdr:spPr>
        <a:xfrm>
          <a:off x="18680906" y="6262688"/>
          <a:ext cx="0" cy="690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11906</xdr:colOff>
      <xdr:row>14</xdr:row>
      <xdr:rowOff>11906</xdr:rowOff>
    </xdr:to>
    <xdr:cxnSp macro="">
      <xdr:nvCxnSpPr>
        <xdr:cNvPr id="357" name="直線接點 356"/>
        <xdr:cNvCxnSpPr/>
      </xdr:nvCxnSpPr>
      <xdr:spPr>
        <a:xfrm>
          <a:off x="17621250" y="6250781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773906</xdr:colOff>
      <xdr:row>14</xdr:row>
      <xdr:rowOff>11906</xdr:rowOff>
    </xdr:to>
    <xdr:cxnSp macro="">
      <xdr:nvCxnSpPr>
        <xdr:cNvPr id="358" name="直線接點 357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773906</xdr:colOff>
      <xdr:row>14</xdr:row>
      <xdr:rowOff>11906</xdr:rowOff>
    </xdr:to>
    <xdr:cxnSp macro="">
      <xdr:nvCxnSpPr>
        <xdr:cNvPr id="359" name="直線接點 358"/>
        <xdr:cNvCxnSpPr/>
      </xdr:nvCxnSpPr>
      <xdr:spPr>
        <a:xfrm>
          <a:off x="18680906" y="6250781"/>
          <a:ext cx="0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785813</xdr:colOff>
      <xdr:row>14</xdr:row>
      <xdr:rowOff>11907</xdr:rowOff>
    </xdr:from>
    <xdr:to>
      <xdr:col>17</xdr:col>
      <xdr:colOff>1547812</xdr:colOff>
      <xdr:row>15</xdr:row>
      <xdr:rowOff>11906</xdr:rowOff>
    </xdr:to>
    <xdr:cxnSp macro="">
      <xdr:nvCxnSpPr>
        <xdr:cNvPr id="360" name="直線接點 359"/>
        <xdr:cNvCxnSpPr/>
      </xdr:nvCxnSpPr>
      <xdr:spPr>
        <a:xfrm>
          <a:off x="18680906" y="6953251"/>
          <a:ext cx="0" cy="6905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0</xdr:rowOff>
    </xdr:from>
    <xdr:to>
      <xdr:col>16</xdr:col>
      <xdr:colOff>11906</xdr:colOff>
      <xdr:row>15</xdr:row>
      <xdr:rowOff>11906</xdr:rowOff>
    </xdr:to>
    <xdr:cxnSp macro="">
      <xdr:nvCxnSpPr>
        <xdr:cNvPr id="361" name="直線接點 360"/>
        <xdr:cNvCxnSpPr/>
      </xdr:nvCxnSpPr>
      <xdr:spPr>
        <a:xfrm>
          <a:off x="17621250" y="6941344"/>
          <a:ext cx="1059656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773906</xdr:colOff>
      <xdr:row>15</xdr:row>
      <xdr:rowOff>11906</xdr:rowOff>
    </xdr:to>
    <xdr:cxnSp macro="">
      <xdr:nvCxnSpPr>
        <xdr:cNvPr id="362" name="直線接點 361"/>
        <xdr:cNvCxnSpPr/>
      </xdr:nvCxnSpPr>
      <xdr:spPr>
        <a:xfrm>
          <a:off x="18680906" y="6941344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</xdr:row>
      <xdr:rowOff>0</xdr:rowOff>
    </xdr:from>
    <xdr:to>
      <xdr:col>18</xdr:col>
      <xdr:colOff>773906</xdr:colOff>
      <xdr:row>15</xdr:row>
      <xdr:rowOff>11906</xdr:rowOff>
    </xdr:to>
    <xdr:cxnSp macro="">
      <xdr:nvCxnSpPr>
        <xdr:cNvPr id="363" name="直線接點 362"/>
        <xdr:cNvCxnSpPr/>
      </xdr:nvCxnSpPr>
      <xdr:spPr>
        <a:xfrm>
          <a:off x="18680906" y="6941344"/>
          <a:ext cx="0" cy="702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23813</xdr:colOff>
      <xdr:row>14</xdr:row>
      <xdr:rowOff>0</xdr:rowOff>
    </xdr:from>
    <xdr:to>
      <xdr:col>9</xdr:col>
      <xdr:colOff>0</xdr:colOff>
      <xdr:row>15</xdr:row>
      <xdr:rowOff>11906</xdr:rowOff>
    </xdr:to>
    <xdr:cxnSp macro="">
      <xdr:nvCxnSpPr>
        <xdr:cNvPr id="379" name="直線接點 378"/>
        <xdr:cNvCxnSpPr/>
      </xdr:nvCxnSpPr>
      <xdr:spPr>
        <a:xfrm>
          <a:off x="10275094" y="4869656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14</xdr:row>
      <xdr:rowOff>9525</xdr:rowOff>
    </xdr:from>
    <xdr:to>
      <xdr:col>10</xdr:col>
      <xdr:colOff>11906</xdr:colOff>
      <xdr:row>15</xdr:row>
      <xdr:rowOff>11906</xdr:rowOff>
    </xdr:to>
    <xdr:cxnSp macro="">
      <xdr:nvCxnSpPr>
        <xdr:cNvPr id="380" name="直線接點 379"/>
        <xdr:cNvCxnSpPr/>
      </xdr:nvCxnSpPr>
      <xdr:spPr>
        <a:xfrm>
          <a:off x="11034712" y="4879181"/>
          <a:ext cx="1585913" cy="6929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773906</xdr:colOff>
      <xdr:row>15</xdr:row>
      <xdr:rowOff>11906</xdr:rowOff>
    </xdr:to>
    <xdr:cxnSp macro="">
      <xdr:nvCxnSpPr>
        <xdr:cNvPr id="381" name="直線接點 380"/>
        <xdr:cNvCxnSpPr/>
      </xdr:nvCxnSpPr>
      <xdr:spPr>
        <a:xfrm>
          <a:off x="12608719" y="4869656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12</xdr:col>
      <xdr:colOff>11906</xdr:colOff>
      <xdr:row>15</xdr:row>
      <xdr:rowOff>11906</xdr:rowOff>
    </xdr:to>
    <xdr:cxnSp macro="">
      <xdr:nvCxnSpPr>
        <xdr:cNvPr id="382" name="直線接點 381"/>
        <xdr:cNvCxnSpPr/>
      </xdr:nvCxnSpPr>
      <xdr:spPr>
        <a:xfrm>
          <a:off x="13406438" y="4869656"/>
          <a:ext cx="1071562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23813</xdr:colOff>
      <xdr:row>14</xdr:row>
      <xdr:rowOff>0</xdr:rowOff>
    </xdr:from>
    <xdr:to>
      <xdr:col>9</xdr:col>
      <xdr:colOff>0</xdr:colOff>
      <xdr:row>15</xdr:row>
      <xdr:rowOff>11906</xdr:rowOff>
    </xdr:to>
    <xdr:cxnSp macro="">
      <xdr:nvCxnSpPr>
        <xdr:cNvPr id="383" name="直線接點 382"/>
        <xdr:cNvCxnSpPr/>
      </xdr:nvCxnSpPr>
      <xdr:spPr>
        <a:xfrm>
          <a:off x="10275094" y="4869656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14</xdr:row>
      <xdr:rowOff>9525</xdr:rowOff>
    </xdr:from>
    <xdr:to>
      <xdr:col>10</xdr:col>
      <xdr:colOff>11906</xdr:colOff>
      <xdr:row>15</xdr:row>
      <xdr:rowOff>11906</xdr:rowOff>
    </xdr:to>
    <xdr:cxnSp macro="">
      <xdr:nvCxnSpPr>
        <xdr:cNvPr id="384" name="直線接點 383"/>
        <xdr:cNvCxnSpPr/>
      </xdr:nvCxnSpPr>
      <xdr:spPr>
        <a:xfrm>
          <a:off x="11034712" y="4879181"/>
          <a:ext cx="1585913" cy="6929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773906</xdr:colOff>
      <xdr:row>15</xdr:row>
      <xdr:rowOff>11906</xdr:rowOff>
    </xdr:to>
    <xdr:cxnSp macro="">
      <xdr:nvCxnSpPr>
        <xdr:cNvPr id="385" name="直線接點 384"/>
        <xdr:cNvCxnSpPr/>
      </xdr:nvCxnSpPr>
      <xdr:spPr>
        <a:xfrm>
          <a:off x="12608719" y="4869656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12</xdr:col>
      <xdr:colOff>11906</xdr:colOff>
      <xdr:row>15</xdr:row>
      <xdr:rowOff>11906</xdr:rowOff>
    </xdr:to>
    <xdr:cxnSp macro="">
      <xdr:nvCxnSpPr>
        <xdr:cNvPr id="386" name="直線接點 385"/>
        <xdr:cNvCxnSpPr/>
      </xdr:nvCxnSpPr>
      <xdr:spPr>
        <a:xfrm>
          <a:off x="13406438" y="4869656"/>
          <a:ext cx="1071562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23813</xdr:colOff>
      <xdr:row>14</xdr:row>
      <xdr:rowOff>0</xdr:rowOff>
    </xdr:from>
    <xdr:to>
      <xdr:col>9</xdr:col>
      <xdr:colOff>0</xdr:colOff>
      <xdr:row>15</xdr:row>
      <xdr:rowOff>11906</xdr:rowOff>
    </xdr:to>
    <xdr:cxnSp macro="">
      <xdr:nvCxnSpPr>
        <xdr:cNvPr id="387" name="直線接點 386"/>
        <xdr:cNvCxnSpPr/>
      </xdr:nvCxnSpPr>
      <xdr:spPr>
        <a:xfrm>
          <a:off x="10275094" y="4869656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14</xdr:row>
      <xdr:rowOff>9525</xdr:rowOff>
    </xdr:from>
    <xdr:to>
      <xdr:col>10</xdr:col>
      <xdr:colOff>11906</xdr:colOff>
      <xdr:row>15</xdr:row>
      <xdr:rowOff>11906</xdr:rowOff>
    </xdr:to>
    <xdr:cxnSp macro="">
      <xdr:nvCxnSpPr>
        <xdr:cNvPr id="388" name="直線接點 387"/>
        <xdr:cNvCxnSpPr/>
      </xdr:nvCxnSpPr>
      <xdr:spPr>
        <a:xfrm>
          <a:off x="11034712" y="4879181"/>
          <a:ext cx="1585913" cy="6929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773906</xdr:colOff>
      <xdr:row>15</xdr:row>
      <xdr:rowOff>11906</xdr:rowOff>
    </xdr:to>
    <xdr:cxnSp macro="">
      <xdr:nvCxnSpPr>
        <xdr:cNvPr id="389" name="直線接點 388"/>
        <xdr:cNvCxnSpPr/>
      </xdr:nvCxnSpPr>
      <xdr:spPr>
        <a:xfrm>
          <a:off x="12608719" y="4869656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12</xdr:col>
      <xdr:colOff>11906</xdr:colOff>
      <xdr:row>15</xdr:row>
      <xdr:rowOff>11906</xdr:rowOff>
    </xdr:to>
    <xdr:cxnSp macro="">
      <xdr:nvCxnSpPr>
        <xdr:cNvPr id="390" name="直線接點 389"/>
        <xdr:cNvCxnSpPr/>
      </xdr:nvCxnSpPr>
      <xdr:spPr>
        <a:xfrm>
          <a:off x="13406438" y="4869656"/>
          <a:ext cx="1071562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14</xdr:row>
      <xdr:rowOff>9525</xdr:rowOff>
    </xdr:from>
    <xdr:to>
      <xdr:col>10</xdr:col>
      <xdr:colOff>11906</xdr:colOff>
      <xdr:row>15</xdr:row>
      <xdr:rowOff>11906</xdr:rowOff>
    </xdr:to>
    <xdr:cxnSp macro="">
      <xdr:nvCxnSpPr>
        <xdr:cNvPr id="391" name="直線接點 390"/>
        <xdr:cNvCxnSpPr/>
      </xdr:nvCxnSpPr>
      <xdr:spPr>
        <a:xfrm>
          <a:off x="11034712" y="4879181"/>
          <a:ext cx="1585913" cy="6929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773906</xdr:colOff>
      <xdr:row>15</xdr:row>
      <xdr:rowOff>11906</xdr:rowOff>
    </xdr:to>
    <xdr:cxnSp macro="">
      <xdr:nvCxnSpPr>
        <xdr:cNvPr id="392" name="直線接點 391"/>
        <xdr:cNvCxnSpPr/>
      </xdr:nvCxnSpPr>
      <xdr:spPr>
        <a:xfrm>
          <a:off x="12608719" y="4869656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12</xdr:col>
      <xdr:colOff>11906</xdr:colOff>
      <xdr:row>15</xdr:row>
      <xdr:rowOff>11906</xdr:rowOff>
    </xdr:to>
    <xdr:cxnSp macro="">
      <xdr:nvCxnSpPr>
        <xdr:cNvPr id="393" name="直線接點 392"/>
        <xdr:cNvCxnSpPr/>
      </xdr:nvCxnSpPr>
      <xdr:spPr>
        <a:xfrm>
          <a:off x="13406438" y="4869656"/>
          <a:ext cx="1071562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23813</xdr:colOff>
      <xdr:row>7</xdr:row>
      <xdr:rowOff>0</xdr:rowOff>
    </xdr:from>
    <xdr:to>
      <xdr:col>9</xdr:col>
      <xdr:colOff>0</xdr:colOff>
      <xdr:row>8</xdr:row>
      <xdr:rowOff>11906</xdr:rowOff>
    </xdr:to>
    <xdr:cxnSp macro="">
      <xdr:nvCxnSpPr>
        <xdr:cNvPr id="271" name="直線接點 270"/>
        <xdr:cNvCxnSpPr/>
      </xdr:nvCxnSpPr>
      <xdr:spPr>
        <a:xfrm>
          <a:off x="10275094" y="2107406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783431</xdr:colOff>
      <xdr:row>7</xdr:row>
      <xdr:rowOff>9525</xdr:rowOff>
    </xdr:from>
    <xdr:to>
      <xdr:col>10</xdr:col>
      <xdr:colOff>11906</xdr:colOff>
      <xdr:row>8</xdr:row>
      <xdr:rowOff>11906</xdr:rowOff>
    </xdr:to>
    <xdr:cxnSp macro="">
      <xdr:nvCxnSpPr>
        <xdr:cNvPr id="272" name="直線接點 271"/>
        <xdr:cNvCxnSpPr/>
      </xdr:nvCxnSpPr>
      <xdr:spPr>
        <a:xfrm>
          <a:off x="11034712" y="2116931"/>
          <a:ext cx="1585913" cy="6929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</xdr:row>
      <xdr:rowOff>0</xdr:rowOff>
    </xdr:from>
    <xdr:to>
      <xdr:col>10</xdr:col>
      <xdr:colOff>773906</xdr:colOff>
      <xdr:row>8</xdr:row>
      <xdr:rowOff>11906</xdr:rowOff>
    </xdr:to>
    <xdr:cxnSp macro="">
      <xdr:nvCxnSpPr>
        <xdr:cNvPr id="273" name="直線接點 272"/>
        <xdr:cNvCxnSpPr/>
      </xdr:nvCxnSpPr>
      <xdr:spPr>
        <a:xfrm>
          <a:off x="12608719" y="2107406"/>
          <a:ext cx="77390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</xdr:row>
      <xdr:rowOff>0</xdr:rowOff>
    </xdr:from>
    <xdr:to>
      <xdr:col>12</xdr:col>
      <xdr:colOff>11906</xdr:colOff>
      <xdr:row>8</xdr:row>
      <xdr:rowOff>11906</xdr:rowOff>
    </xdr:to>
    <xdr:cxnSp macro="">
      <xdr:nvCxnSpPr>
        <xdr:cNvPr id="274" name="直線接點 273"/>
        <xdr:cNvCxnSpPr/>
      </xdr:nvCxnSpPr>
      <xdr:spPr>
        <a:xfrm>
          <a:off x="13406438" y="2107406"/>
          <a:ext cx="1071562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</xdr:row>
      <xdr:rowOff>678656</xdr:rowOff>
    </xdr:from>
    <xdr:to>
      <xdr:col>13</xdr:col>
      <xdr:colOff>-1</xdr:colOff>
      <xdr:row>8</xdr:row>
      <xdr:rowOff>0</xdr:rowOff>
    </xdr:to>
    <xdr:cxnSp macro="">
      <xdr:nvCxnSpPr>
        <xdr:cNvPr id="275" name="直線接點 274"/>
        <xdr:cNvCxnSpPr/>
      </xdr:nvCxnSpPr>
      <xdr:spPr>
        <a:xfrm>
          <a:off x="14466094" y="2114550"/>
          <a:ext cx="797718" cy="6834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11906</xdr:colOff>
      <xdr:row>6</xdr:row>
      <xdr:rowOff>678656</xdr:rowOff>
    </xdr:from>
    <xdr:to>
      <xdr:col>14</xdr:col>
      <xdr:colOff>11906</xdr:colOff>
      <xdr:row>7</xdr:row>
      <xdr:rowOff>678656</xdr:rowOff>
    </xdr:to>
    <xdr:cxnSp macro="">
      <xdr:nvCxnSpPr>
        <xdr:cNvPr id="276" name="直線接點 275"/>
        <xdr:cNvCxnSpPr/>
      </xdr:nvCxnSpPr>
      <xdr:spPr>
        <a:xfrm>
          <a:off x="15275719" y="2114550"/>
          <a:ext cx="1559718" cy="6715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</xdr:row>
      <xdr:rowOff>11906</xdr:rowOff>
    </xdr:from>
    <xdr:to>
      <xdr:col>15</xdr:col>
      <xdr:colOff>35719</xdr:colOff>
      <xdr:row>8</xdr:row>
      <xdr:rowOff>11906</xdr:rowOff>
    </xdr:to>
    <xdr:cxnSp macro="">
      <xdr:nvCxnSpPr>
        <xdr:cNvPr id="277" name="直線接點 276"/>
        <xdr:cNvCxnSpPr/>
      </xdr:nvCxnSpPr>
      <xdr:spPr>
        <a:xfrm>
          <a:off x="16823531" y="2119312"/>
          <a:ext cx="833438" cy="690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0</xdr:rowOff>
    </xdr:from>
    <xdr:to>
      <xdr:col>16</xdr:col>
      <xdr:colOff>11906</xdr:colOff>
      <xdr:row>8</xdr:row>
      <xdr:rowOff>11906</xdr:rowOff>
    </xdr:to>
    <xdr:cxnSp macro="">
      <xdr:nvCxnSpPr>
        <xdr:cNvPr id="278" name="直線接點 277"/>
        <xdr:cNvCxnSpPr/>
      </xdr:nvCxnSpPr>
      <xdr:spPr>
        <a:xfrm>
          <a:off x="17621250" y="2107406"/>
          <a:ext cx="1059656" cy="7024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457200</xdr:colOff>
      <xdr:row>4</xdr:row>
      <xdr:rowOff>0</xdr:rowOff>
    </xdr:from>
    <xdr:to>
      <xdr:col>45</xdr:col>
      <xdr:colOff>942975</xdr:colOff>
      <xdr:row>21</xdr:row>
      <xdr:rowOff>266706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98B5292-6446-4A84-B233-8FE146C18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457200</xdr:colOff>
      <xdr:row>4</xdr:row>
      <xdr:rowOff>0</xdr:rowOff>
    </xdr:from>
    <xdr:to>
      <xdr:col>45</xdr:col>
      <xdr:colOff>942975</xdr:colOff>
      <xdr:row>21</xdr:row>
      <xdr:rowOff>266706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693D10C-730C-4503-9C92-008313108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b55d\c\GS&#24037;&#31243;&#25033;&#29992;&#31995;&#32113;\&#29151;&#24314;&#31649;&#29702;\&#35336;&#20729;\&#30722;&#30707;&#27402;&#37325;\&#30722;&#30707;&#35036;&#20767;C345-880620&#35336;&#2072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o1877rg\&#20977;&#32724;\RD16-6\&#26368;&#24460;&#38928;&#3163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o1877rg\RD16-6\&#26368;&#24460;&#38928;&#3163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037;&#21209;&#32068;&#36039;&#26009;&#24235;\&#26412;&#27231;&#30913;&#30879;%20(d)\&#29151;&#24314;&#22235;&#37096;\&#24046;&#30064;&#20998;&#26512;\531&#27161;\92&#24180;&#24046;&#30064;&#20998;&#26512;\531&#38928;&#31639;&#26360;92122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\&#31478;&#30740;&#34389;\&#38928;&#31639;&#37096;\&#38928;&#19968;&#32068;\&#38928;&#31639;&#20316;&#26989;\01&#38928;&#31639;&#23529;&#26597;&#20316;&#26989;\&#20854;&#20182;\&#38928;&#31639;&#20316;&#26989;&#24037;&#20855;\&#38928;&#31639;&#24118;&#33879;&#36208;\&#38928;&#31639;&#36028;&#36028;022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\&#31478;&#30740;&#34389;\&#38928;&#31639;&#37096;\&#38928;&#19968;&#32068;\&#38928;&#31639;&#20316;&#26989;\&#38928;&#31639;&#23529;&#26597;&#20316;&#26989;\4&#38928;&#31639;&#26360;\&#31532;&#19977;&#24037;&#34389;\&#22823;&#40300;final\&#22823;&#40300;fin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4131\d\Program%20Files\Norton%20SystemWorks\Norton%20CrashGuard\SafeOrig\&#38928;&#31639;&#36028;&#36028;12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749\&#20844;&#29992;&#36039;&#26009;\&#20839;&#26989;&#31449;&#25991;&#20214;\&#21322;&#26376;&#22577;\&#21322;&#26376;&#22577;&#21021;&#31295;\(6)541T-27&#26399;-93.12&#19978;&#21322;&#26376;&#22577;(&#24070;)\541T-93.07&#19979;-Scurv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\&#31478;&#30740;&#34389;\WIN95\TEMP\&#38928;&#31639;&#26360;\&#23815;&#24859;\&#23815;&#24859;&#20108;&#26449;040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cc1820\&#26032;&#29983;&#31449;\&#24429;&#28113;&#33728;\Documents%20and%20Settings\Administrator\Local%20Settings\Temporary%20Internet%20Files\Content.IE5\0JDBUMR9\&#27298;&#26597;&#30003;&#35531;&#21934;\&#22522;&#27137;\SAV.data\&#21322;&#26376;&#22577;(&#34399;&#35468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RD16-6\&#26368;&#24460;&#38928;&#3163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My%20Documents\yu90\90&#27888;&#24037;8.21-9.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My%20Documents\yu90\90&#27888;&#24037;6.21-7.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035\324&#24460;&#32396;\324A\&#26085;&#22577;\89-%2012&#26085;&#22577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cc1820\&#26032;&#29983;&#31449;\&#24429;&#28113;&#33728;\Documents%20and%20Settings\Administrator\Local%20Settings\Temporary%20Internet%20Files\Content.IE5\0JDBUMR9\&#27298;&#26597;&#30003;&#35531;&#21934;\&#22522;&#27137;\&#27298;&#26597;&#30003;&#35531;&#21934;\WH49&#22522;&#27137;&#33258;&#20027;&#27298;&#26597;&#3492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-LI\Q-SLA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LIU\My%20Documents\yu91\91&#27888;&#24037;2.21-3.2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o1877rg\Users\A00035\Desktop\&#32736;&#29618;&#36039;&#26009;-&#20844;&#25991;\&#24037;&#31243;&#26371;&#22577;\102&#24180;&#24230;\&#31532;8&#27425;(102.9.6)\&#26519;&#21644;&#22343;\H61&#21322;&#26376;&#22577;\@@%20%20&#26481;&#27573;&#21322;&#26376;&#22577;(H42&#12289;H52&#12289;61)\&#26085;&#22577;&#34920;9809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C\Documents%20and%20Settings\Administrator\Local%20Settings\Temporary%20Internet%20Files\Content.IE5\W5M34DYZ\Documents%20and%20Settings\LING\My%20Documents\Ling&#30340;&#20849;&#29992;&#25991;&#20214;\571&#27161;S-&#26354;&#3221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6446;&#20754;&#27427;\&#21277;&#36947;4\ABUTQUA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37;&#31243;&#36914;&#2423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928;&#31639;&#32068;-&#23195;&#20329;\&#38928;&#31639;&#32232;&#30908;\&#38928;&#31639;&#36028;&#36028;0420-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\&#31478;&#30740;&#34389;\&#24037;&#31243;&#31649;&#29702;&#37096;\&#38928;&#31639;&#32068;\&#38928;&#31639;&#23529;&#26597;&#20316;&#26989;\4&#38928;&#31639;&#26360;\&#20013;&#24037;&#34389;\&#20013;&#19968;\&#38957;&#20221;&#27231;&#25151;&#26032;&#24314;&#24037;&#31243;&#23529;&#24460;~8.04%25+&#32232;&#3090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68;&#24460;&#38928;&#3163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&#38331;&#23567;&#24351;\C383A\PAY\PAY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RPAO-YANGHO\&#31639;&#22294;\ok\&#21271;&#19978;&#27704;&#20037;&#25803;&#22303;&#29254;0414-TYL-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&#26366;&#21103;&#24231;\data%20(d)\&#26376;&#36914;&#24230;&#26371;&#35696;\&#38642;&#31185;\&#38642;&#31185;88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037;&#21209;&#32068;\&#26412;&#27231;&#30913;&#30879;%20(d)\F\DWG\&#23439;&#23431;\&#24049;&#23529;&#26680;\&#25803;&#22303;&#29254;\(S13-1)%20324380~324460\S13-1&#37628;&#31563;&#3492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o1877rg\&#20977;&#32724;\&#19979;&#36617;\&#38928;&#31639;&#37096;\&#38928;&#19968;&#32068;\&#38928;&#31639;&#20316;&#26989;\&#38928;&#31639;&#23529;&#26597;&#20316;&#26989;\3&#26410;&#23529;&#21450;&#26410;&#23450;&#26696;&#38928;&#31639;&#26360;\&#28165;&#27700;\&#28165;&#27700;&#26381;&#21209;&#21312;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o1877rg\&#19979;&#36617;\&#38928;&#31639;&#37096;\&#38928;&#19968;&#32068;\&#38928;&#31639;&#20316;&#26989;\&#38928;&#31639;&#23529;&#26597;&#20316;&#26989;\3&#26410;&#23529;&#21450;&#26410;&#23450;&#26696;&#38928;&#31639;&#26360;\&#28165;&#27700;\&#28165;&#27700;&#26381;&#21209;&#21312;4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417;&#31168;&#21892;\MY%20DOCUMENTS\WINDOWS\Temporary%20Internet%20Files\Content.IE5\X1XC9L2J\WINDOWS\Temporary%20Internet%20Files\Content.IE5\WD23S1Q3\&#38928;&#31639;&#32068;&#30340;&#26481;&#35199;\&#38928;&#31639;&#32232;&#30908;\&#38928;&#31639;&#36028;&#36028;0420-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037;&#21209;&#32068;&#36039;&#26009;&#24235;\&#26412;&#27231;&#30913;&#30879;%20(d)\&#38928;&#31639;&#37096;\&#38928;&#19968;&#32068;\&#38928;&#31639;&#20316;&#26989;\&#38928;&#31639;&#23529;&#26597;&#20316;&#26989;\4&#38928;&#31639;&#26360;\&#21335;&#24037;&#34389;\&#21335;&#22235;\&#21488;&#21335;&#27861;&#38498;\&#21488;&#21335;&#39640;&#31561;&#27861;&#38498;~&#20462;&#27491;+&#25976;&#3732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rnet\c\&#26366;&#25991;&#28330;\&#31777;&#22577;\&#26366;&#25991;&#28330;542B&#27161;(&#37325;&#26032;)_CashFlo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928;&#31639;&#32068;-&#23195;&#20329;\&#38928;&#31639;&#32232;&#30908;\&#38928;&#31639;&#36028;&#36028;122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037;&#21209;&#32068;&#36039;&#26009;&#24235;\&#26412;&#27231;&#30913;&#30879;%20(d)\&#22823;&#40300;\&#38928;&#31639;&#21450;&#25976;&#37327;\&#38928;&#31639;&#26360;\&#38928;&#31639;&#26360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417;&#31168;&#21892;\MY%20DOCUMENTS\WINDOWS\Temporary%20Internet%20Files\Content.IE5\X1XC9L2J\WINDOWS\Temporary%20Internet%20Files\Content.IE5\WD23S1Q3\&#23195;&#20329;&#30340;&#36039;&#26009;\&#23195;&#20329;&#30340;&#27284;&#26696;\&#38928;&#31639;&#26360;\&#20108;&#25152;\&#23526;&#36368;070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n\&#24066;&#24070;&#20849;&#29992;&#36039;&#26009;&#22846;\&#31532;51113&#27161;96-04&#30435;(&#26045;)&#24037;&#26085;&#22577;&#34920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697;&#31649;&#23460;\D\Finna\&#32654;&#27427;&#36039;&#26009;&#22846;\&#27611;&#21033;&#35519;&#25972;\9105\&#24046;&#30064;&#20998;&#26512;\&#19977;&#37096;\&#22823;&#40300;&#24046;&#30064;&#20998;&#26512;9104-&#20462;&#27491;&#2925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&#38331;&#23567;&#24351;\C383A\&#19979;&#25104;&#26412;\&#25104;&#26412;&#26376;&#22577;8909NEW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331;&#26223;&#23433;\D\&#38331;&#23567;&#24351;\C383A\&#19979;&#25104;&#26412;\871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\&#22283;&#36947;1&#34399;&#22686;&#35373;&#34382;&#23614;&#20132;&#27969;&#36947;\Documents%20and%20Settings\ADMIN\Local%20Settings\Temporary%20Internet%20Files\Content.IE5\LKGD3E0E\&#25010;&#20161;&#23560;&#29992;\&#24231;&#39381;&#25490;&#27700;\&#26368;&#24460;&#38928;&#31639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HEN\MIS&#20462;&#27491;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\gs_site_management_system\Inetpub\ftproot\512\&#21322;&#26376;&#22577;\93.03&#19979;&#21322;&#26376;\&#23526;&#38555;&#38928;&#23450;&#24037;&#20316;&#38917;&#30446;93.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19\&#20094;\&#20094;\&#26519;&#24609;&#27194;\U&#22411;&#28317;&#35336;&#31639;(324A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核定權重 (2)"/>
      <sheetName val="核定權重"/>
      <sheetName val="核定刪除0"/>
      <sheetName val="18705"/>
      <sheetName val="28706"/>
      <sheetName val="38707"/>
      <sheetName val="48708"/>
      <sheetName val="58709"/>
      <sheetName val="68710"/>
      <sheetName val="78711"/>
      <sheetName val="88712"/>
      <sheetName val="Sheet3"/>
      <sheetName val="Sheet2"/>
      <sheetName val="估驗總表"/>
      <sheetName val="砂石及級配類物價指數"/>
      <sheetName val="98801"/>
      <sheetName val="108802"/>
      <sheetName val="118803"/>
      <sheetName val="128804"/>
      <sheetName val="148805"/>
      <sheetName val="158806-1"/>
      <sheetName val="168806-2"/>
      <sheetName val="168806-2 (2)"/>
      <sheetName val="178807"/>
      <sheetName val="補償費彙整"/>
      <sheetName val="Sheet4"/>
      <sheetName val="數量"/>
      <sheetName val="預拌廠砂石補償"/>
      <sheetName val="A"/>
      <sheetName val="預總"/>
      <sheetName val="信南砂總表"/>
      <sheetName val="15砂"/>
      <sheetName val="158806-1 (2)"/>
      <sheetName val="Sheet5"/>
      <sheetName val="預瘡"/>
      <sheetName val="核定權重_(2)"/>
      <sheetName val="168806-2_(2)"/>
      <sheetName val="158806-1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電信"/>
      <sheetName val="預算"/>
      <sheetName val="單價1"/>
      <sheetName val="單價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電信"/>
      <sheetName val="預算"/>
      <sheetName val="單價1"/>
      <sheetName val="單價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合約條文"/>
      <sheetName val="各項比例"/>
      <sheetName val="預算書總表"/>
      <sheetName val="差異統計"/>
      <sheetName val="預算書"/>
      <sheetName val="差異說明與對策"/>
      <sheetName val="假設--預算書"/>
      <sheetName val="級配材料"/>
      <sheetName val="土方材料"/>
      <sheetName val="版樁購料分析"/>
      <sheetName val="牛稠溪降挖數量"/>
      <sheetName val="鈑樁--預算"/>
      <sheetName val="混凝土配比"/>
      <sheetName val="鋼筋材料"/>
      <sheetName val="AC"/>
      <sheetName val="模板分析"/>
      <sheetName val="橋樑模板統計"/>
      <sheetName val="預力樑清單"/>
      <sheetName val="預力樑數量"/>
      <sheetName val="樑場"/>
      <sheetName val="預力樑分析"/>
      <sheetName val="噴凝土"/>
      <sheetName val="橋工總表"/>
      <sheetName val="橋工明細"/>
      <sheetName val="橋樑假設"/>
      <sheetName val="交維2"/>
      <sheetName val="交維設施"/>
      <sheetName val="交維-預算"/>
      <sheetName val="交維"/>
      <sheetName val="試驗儀器"/>
      <sheetName val="臨遷"/>
      <sheetName val="擋土牆統計"/>
      <sheetName val="鋼便橋"/>
      <sheetName val="交流道長度"/>
      <sheetName val="細項明細"/>
      <sheetName val="八掌溪--參考"/>
      <sheetName val="急水溪--參考"/>
      <sheetName val="出標成本"/>
      <sheetName val="已匯入之預算"/>
      <sheetName val="出標與預算差異--勿用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6">
          <cell r="P16">
            <v>1150</v>
          </cell>
        </row>
        <row r="17">
          <cell r="P17">
            <v>1050</v>
          </cell>
        </row>
        <row r="18">
          <cell r="P18">
            <v>1280</v>
          </cell>
        </row>
        <row r="19">
          <cell r="P19">
            <v>1350</v>
          </cell>
        </row>
        <row r="20">
          <cell r="P20">
            <v>1390</v>
          </cell>
        </row>
        <row r="21">
          <cell r="P21">
            <v>1485</v>
          </cell>
        </row>
        <row r="22">
          <cell r="P22">
            <v>1500</v>
          </cell>
        </row>
        <row r="23">
          <cell r="P23">
            <v>1500</v>
          </cell>
        </row>
        <row r="24">
          <cell r="P24">
            <v>1500</v>
          </cell>
        </row>
        <row r="25">
          <cell r="P25">
            <v>1630</v>
          </cell>
        </row>
        <row r="26">
          <cell r="P26">
            <v>1500</v>
          </cell>
        </row>
      </sheetData>
      <sheetData sheetId="13">
        <row r="9">
          <cell r="M9">
            <v>11072.5</v>
          </cell>
        </row>
        <row r="10">
          <cell r="M10">
            <v>11175.5</v>
          </cell>
        </row>
        <row r="11">
          <cell r="M11">
            <v>11330</v>
          </cell>
        </row>
        <row r="12">
          <cell r="M12">
            <v>11484.5</v>
          </cell>
        </row>
        <row r="13">
          <cell r="M13">
            <v>11312</v>
          </cell>
        </row>
        <row r="14">
          <cell r="M14">
            <v>11463.5</v>
          </cell>
        </row>
      </sheetData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管理費說明"/>
      <sheetName val="假設貼貼"/>
      <sheetName val="假設編列原則"/>
      <sheetName val="人事管理費明細"/>
      <sheetName val="預算成本分析"/>
      <sheetName val="單價分析"/>
      <sheetName val="工料單價"/>
      <sheetName val="外勞鋼筋工程"/>
      <sheetName val="外勞傳模"/>
      <sheetName val="外勞系模"/>
      <sheetName val="工程預算施工進度表"/>
      <sheetName val="模板成本分析"/>
      <sheetName val="模板"/>
      <sheetName val="塔吊攤提原則"/>
      <sheetName val="塔吊分析"/>
      <sheetName val="塔吊預算"/>
    </sheetNames>
    <sheetDataSet>
      <sheetData sheetId="0"/>
      <sheetData sheetId="1"/>
      <sheetData sheetId="2"/>
      <sheetData sheetId="3"/>
      <sheetData sheetId="4"/>
      <sheetData sheetId="5" refreshError="1">
        <row r="28">
          <cell r="F28" t="str">
            <v>砌空心磚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門窗"/>
      <sheetName val="鋁窗分析"/>
      <sheetName val="五金"/>
      <sheetName val="玻璃"/>
      <sheetName val="鐵捲門"/>
      <sheetName val="看這裡"/>
      <sheetName val="模板成本分析"/>
      <sheetName val="塔吊"/>
      <sheetName val="模板"/>
      <sheetName val="追加減帳"/>
      <sheetName val="工料單價"/>
      <sheetName val="分區預算"/>
      <sheetName val="預算書"/>
      <sheetName val="成本分析"/>
      <sheetName val="假設工程"/>
      <sheetName val="鋁門窗及其他"/>
      <sheetName val="捲門"/>
      <sheetName val="假設編列原則"/>
      <sheetName val="Sheet1"/>
      <sheetName val="工務所"/>
      <sheetName val="單價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5">
          <cell r="B5">
            <v>23</v>
          </cell>
        </row>
        <row r="6">
          <cell r="B6">
            <v>24</v>
          </cell>
        </row>
        <row r="7">
          <cell r="B7">
            <v>130</v>
          </cell>
        </row>
        <row r="8">
          <cell r="B8">
            <v>230</v>
          </cell>
        </row>
        <row r="12">
          <cell r="J12">
            <v>75</v>
          </cell>
        </row>
        <row r="18">
          <cell r="J18">
            <v>90</v>
          </cell>
        </row>
        <row r="22">
          <cell r="B22">
            <v>1.9</v>
          </cell>
        </row>
        <row r="31">
          <cell r="B31">
            <v>9</v>
          </cell>
        </row>
        <row r="39">
          <cell r="J39">
            <v>185</v>
          </cell>
        </row>
        <row r="41">
          <cell r="B41">
            <v>1314.2857142857142</v>
          </cell>
        </row>
        <row r="47">
          <cell r="J47">
            <v>35</v>
          </cell>
        </row>
        <row r="49">
          <cell r="J49">
            <v>55</v>
          </cell>
        </row>
        <row r="50">
          <cell r="J50">
            <v>72</v>
          </cell>
        </row>
        <row r="58">
          <cell r="J58">
            <v>2606</v>
          </cell>
        </row>
        <row r="59">
          <cell r="J59">
            <v>2222.2222222222222</v>
          </cell>
        </row>
        <row r="60">
          <cell r="J60">
            <v>106</v>
          </cell>
        </row>
        <row r="61">
          <cell r="J61">
            <v>30</v>
          </cell>
        </row>
        <row r="62">
          <cell r="J62">
            <v>142.5</v>
          </cell>
        </row>
        <row r="63">
          <cell r="J63">
            <v>80</v>
          </cell>
        </row>
        <row r="64">
          <cell r="J64">
            <v>120</v>
          </cell>
        </row>
        <row r="65">
          <cell r="J65">
            <v>22.6</v>
          </cell>
        </row>
        <row r="66">
          <cell r="J66">
            <v>2222.2222222222222</v>
          </cell>
        </row>
        <row r="67">
          <cell r="J67">
            <v>106</v>
          </cell>
        </row>
        <row r="68">
          <cell r="J68">
            <v>30</v>
          </cell>
        </row>
        <row r="69">
          <cell r="J69">
            <v>142.5</v>
          </cell>
        </row>
        <row r="70">
          <cell r="J70">
            <v>80</v>
          </cell>
        </row>
        <row r="71">
          <cell r="J71">
            <v>120</v>
          </cell>
        </row>
        <row r="72">
          <cell r="J72">
            <v>22.6</v>
          </cell>
        </row>
      </sheetData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管理費說明"/>
      <sheetName val="假設貼貼"/>
      <sheetName val="假設編列原則"/>
      <sheetName val="地坪"/>
      <sheetName val="平頂"/>
      <sheetName val="內牆"/>
      <sheetName val="外牆"/>
      <sheetName val="整理"/>
      <sheetName val="Sheet1"/>
      <sheetName val="結構"/>
      <sheetName val="單價分析"/>
      <sheetName val="單價分析 (2)"/>
      <sheetName val="人事管理費明細"/>
      <sheetName val="預算成本分析"/>
      <sheetName val="工料單價"/>
      <sheetName val="外勞鋼筋工程"/>
      <sheetName val="外勞傳模"/>
      <sheetName val="外勞系模"/>
      <sheetName val="工程預算施工進度表"/>
      <sheetName val="模板成本分析"/>
      <sheetName val="模板"/>
      <sheetName val="塔吊攤提原則"/>
      <sheetName val="塔吊分析"/>
      <sheetName val="塔吊預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AA5"/>
      <sheetName val="健保DEMO"/>
      <sheetName val="薪資DEMO"/>
      <sheetName val="勞保DEMO"/>
    </sheetNames>
    <sheetDataSet>
      <sheetData sheetId="0" refreshError="1"/>
      <sheetData sheetId="1">
        <row r="1">
          <cell r="B1" t="str">
            <v>ACT</v>
          </cell>
          <cell r="C1" t="str">
            <v>TITLE</v>
          </cell>
          <cell r="D1" t="str">
            <v>ES</v>
          </cell>
          <cell r="E1" t="str">
            <v>EF</v>
          </cell>
        </row>
        <row r="2">
          <cell r="B2" t="str">
            <v>PM00010000</v>
          </cell>
          <cell r="C2" t="str">
            <v>開工</v>
          </cell>
          <cell r="D2">
            <v>37915</v>
          </cell>
          <cell r="E2">
            <v>37915</v>
          </cell>
          <cell r="W2" t="str">
            <v>MS00010000</v>
          </cell>
          <cell r="X2" t="str">
            <v>品質管控與交通維持</v>
          </cell>
          <cell r="Y2">
            <v>37915</v>
          </cell>
          <cell r="Z2">
            <v>38454</v>
          </cell>
        </row>
        <row r="3">
          <cell r="B3" t="str">
            <v>MS00010000</v>
          </cell>
          <cell r="C3" t="str">
            <v>交通維持</v>
          </cell>
          <cell r="D3">
            <v>37915</v>
          </cell>
          <cell r="E3">
            <v>38454</v>
          </cell>
          <cell r="W3" t="str">
            <v>MS00020000</v>
          </cell>
          <cell r="X3" t="str">
            <v>安全衛生與環境保護</v>
          </cell>
          <cell r="Y3">
            <v>37915</v>
          </cell>
          <cell r="Z3">
            <v>38454</v>
          </cell>
        </row>
        <row r="4">
          <cell r="B4" t="str">
            <v>MS00020000</v>
          </cell>
          <cell r="C4" t="str">
            <v>安全衛生</v>
          </cell>
          <cell r="D4">
            <v>37915</v>
          </cell>
          <cell r="E4">
            <v>38454</v>
          </cell>
          <cell r="W4" t="str">
            <v>PM00010000</v>
          </cell>
          <cell r="X4" t="str">
            <v>開工</v>
          </cell>
          <cell r="Y4">
            <v>37915</v>
          </cell>
          <cell r="Z4">
            <v>37915</v>
          </cell>
        </row>
        <row r="5">
          <cell r="B5" t="str">
            <v>PM00020000</v>
          </cell>
          <cell r="C5" t="str">
            <v>動員</v>
          </cell>
          <cell r="D5">
            <v>37916</v>
          </cell>
          <cell r="E5">
            <v>37919</v>
          </cell>
          <cell r="W5" t="str">
            <v>PM00020000</v>
          </cell>
          <cell r="X5" t="str">
            <v>動員</v>
          </cell>
          <cell r="Y5">
            <v>37916</v>
          </cell>
          <cell r="Z5">
            <v>37919</v>
          </cell>
        </row>
        <row r="6">
          <cell r="B6" t="str">
            <v>PM00030000</v>
          </cell>
          <cell r="C6" t="str">
            <v>放樣</v>
          </cell>
          <cell r="D6">
            <v>37920</v>
          </cell>
          <cell r="E6">
            <v>37926</v>
          </cell>
          <cell r="W6" t="str">
            <v>PM00030000</v>
          </cell>
          <cell r="X6" t="str">
            <v>放樣</v>
          </cell>
          <cell r="Y6">
            <v>37920</v>
          </cell>
          <cell r="Z6">
            <v>37926</v>
          </cell>
        </row>
        <row r="7">
          <cell r="B7" t="str">
            <v>PM00040000</v>
          </cell>
          <cell r="C7" t="str">
            <v>整地</v>
          </cell>
          <cell r="D7">
            <v>37947</v>
          </cell>
          <cell r="E7">
            <v>37960</v>
          </cell>
          <cell r="W7" t="str">
            <v>PM00030010</v>
          </cell>
          <cell r="X7" t="str">
            <v>現場清除掘除</v>
          </cell>
          <cell r="Y7">
            <v>37927</v>
          </cell>
          <cell r="Z7">
            <v>37936</v>
          </cell>
        </row>
        <row r="8">
          <cell r="B8" t="str">
            <v>PM00050000</v>
          </cell>
          <cell r="C8" t="str">
            <v>工務所成立</v>
          </cell>
          <cell r="D8">
            <v>37961</v>
          </cell>
          <cell r="E8">
            <v>37967</v>
          </cell>
          <cell r="W8" t="str">
            <v>PM00030020</v>
          </cell>
          <cell r="X8" t="str">
            <v>試挖</v>
          </cell>
          <cell r="Y8">
            <v>37937</v>
          </cell>
          <cell r="Z8">
            <v>37946</v>
          </cell>
        </row>
        <row r="9">
          <cell r="B9" t="str">
            <v>PM00060000</v>
          </cell>
          <cell r="C9" t="str">
            <v>施工便道</v>
          </cell>
          <cell r="D9">
            <v>37961</v>
          </cell>
          <cell r="E9">
            <v>37974</v>
          </cell>
          <cell r="W9" t="str">
            <v>PM00040000</v>
          </cell>
          <cell r="X9" t="str">
            <v>整地</v>
          </cell>
          <cell r="Y9">
            <v>37947</v>
          </cell>
          <cell r="Z9">
            <v>37960</v>
          </cell>
        </row>
        <row r="10">
          <cell r="B10" t="str">
            <v>PM00070000</v>
          </cell>
          <cell r="C10" t="str">
            <v>施工圍籬</v>
          </cell>
          <cell r="D10">
            <v>37961</v>
          </cell>
          <cell r="E10">
            <v>37974</v>
          </cell>
          <cell r="W10" t="str">
            <v>PM00050000</v>
          </cell>
          <cell r="X10" t="str">
            <v>工務所成立</v>
          </cell>
          <cell r="Y10">
            <v>37961</v>
          </cell>
          <cell r="Z10">
            <v>37967</v>
          </cell>
        </row>
        <row r="11">
          <cell r="B11" t="str">
            <v>PM00080000</v>
          </cell>
          <cell r="C11" t="str">
            <v>臨時水電</v>
          </cell>
          <cell r="D11">
            <v>37975</v>
          </cell>
          <cell r="E11">
            <v>37980</v>
          </cell>
          <cell r="W11" t="str">
            <v>PM00060000</v>
          </cell>
          <cell r="X11" t="str">
            <v>施工便道</v>
          </cell>
          <cell r="Y11">
            <v>37961</v>
          </cell>
          <cell r="Z11">
            <v>37974</v>
          </cell>
        </row>
        <row r="12">
          <cell r="W12" t="str">
            <v>PM00070000</v>
          </cell>
          <cell r="X12" t="str">
            <v>施工圍籬</v>
          </cell>
          <cell r="Y12">
            <v>37961</v>
          </cell>
          <cell r="Z12">
            <v>37974</v>
          </cell>
        </row>
        <row r="13">
          <cell r="B13" t="str">
            <v>RD00020210</v>
          </cell>
          <cell r="C13" t="str">
            <v>銜接拓寬路段RCP管及</v>
          </cell>
          <cell r="D13">
            <v>37981</v>
          </cell>
          <cell r="E13">
            <v>37990</v>
          </cell>
          <cell r="W13" t="str">
            <v>PM00080000</v>
          </cell>
          <cell r="X13" t="str">
            <v>臨時水電</v>
          </cell>
          <cell r="Y13">
            <v>37975</v>
          </cell>
          <cell r="Z13">
            <v>37980</v>
          </cell>
        </row>
        <row r="14">
          <cell r="B14" t="str">
            <v>RD00020220</v>
          </cell>
          <cell r="C14" t="str">
            <v>新設RCP管及相關排水</v>
          </cell>
          <cell r="D14">
            <v>37981</v>
          </cell>
          <cell r="E14">
            <v>37985</v>
          </cell>
          <cell r="W14" t="str">
            <v>RD00020210</v>
          </cell>
          <cell r="X14" t="str">
            <v>銜接拓寬路段RCP管及</v>
          </cell>
          <cell r="Y14">
            <v>37981</v>
          </cell>
          <cell r="Z14">
            <v>37990</v>
          </cell>
        </row>
        <row r="15">
          <cell r="B15" t="str">
            <v>RDA1010000</v>
          </cell>
          <cell r="C15" t="str">
            <v>TRA 擋土牆施工</v>
          </cell>
          <cell r="D15">
            <v>37991</v>
          </cell>
          <cell r="E15">
            <v>38045</v>
          </cell>
          <cell r="W15" t="str">
            <v>RD00020220</v>
          </cell>
          <cell r="X15" t="str">
            <v>新設RCP管及相關排水</v>
          </cell>
          <cell r="Y15">
            <v>37981</v>
          </cell>
          <cell r="Z15">
            <v>37985</v>
          </cell>
        </row>
        <row r="16">
          <cell r="B16" t="str">
            <v>RDA1020000</v>
          </cell>
          <cell r="C16" t="str">
            <v>TRA 排水溝施工</v>
          </cell>
          <cell r="D16">
            <v>38006</v>
          </cell>
          <cell r="E16">
            <v>38038</v>
          </cell>
          <cell r="W16" t="str">
            <v>RDA1010010</v>
          </cell>
          <cell r="X16" t="str">
            <v>TRA 0k+000--159擋土</v>
          </cell>
          <cell r="Y16">
            <v>37991</v>
          </cell>
          <cell r="Z16">
            <v>38020</v>
          </cell>
        </row>
        <row r="17">
          <cell r="B17" t="str">
            <v>RDA2020000</v>
          </cell>
          <cell r="C17" t="str">
            <v>TRA-2 排水溝施工</v>
          </cell>
          <cell r="D17">
            <v>38039</v>
          </cell>
          <cell r="E17">
            <v>38043</v>
          </cell>
          <cell r="W17" t="str">
            <v>RDA1020010</v>
          </cell>
          <cell r="X17" t="str">
            <v>TRA 0k+000--159排水</v>
          </cell>
          <cell r="Y17">
            <v>38006</v>
          </cell>
          <cell r="Z17">
            <v>38025</v>
          </cell>
        </row>
        <row r="18">
          <cell r="B18" t="str">
            <v>RDA0030100</v>
          </cell>
          <cell r="C18" t="str">
            <v>西側路基回填</v>
          </cell>
          <cell r="D18">
            <v>38046</v>
          </cell>
          <cell r="E18">
            <v>38276</v>
          </cell>
          <cell r="W18" t="str">
            <v>RDA1010000</v>
          </cell>
          <cell r="X18" t="str">
            <v>TRA 0k+260--378擋土</v>
          </cell>
          <cell r="Y18">
            <v>38021</v>
          </cell>
          <cell r="Z18">
            <v>38045</v>
          </cell>
        </row>
        <row r="19">
          <cell r="B19" t="str">
            <v>RDA3010000</v>
          </cell>
          <cell r="C19" t="str">
            <v>OFFRD-1 擋土牆施工</v>
          </cell>
          <cell r="D19">
            <v>38046</v>
          </cell>
          <cell r="E19">
            <v>38097</v>
          </cell>
          <cell r="W19" t="str">
            <v>RDA1020000</v>
          </cell>
          <cell r="X19" t="str">
            <v>TRA 0k+260--378排水</v>
          </cell>
          <cell r="Y19">
            <v>38026</v>
          </cell>
          <cell r="Z19">
            <v>38038</v>
          </cell>
        </row>
        <row r="20">
          <cell r="B20" t="str">
            <v>RDA3020000</v>
          </cell>
          <cell r="C20" t="str">
            <v>OFFRD-1 排水溝施工</v>
          </cell>
          <cell r="D20">
            <v>38061</v>
          </cell>
          <cell r="E20">
            <v>38101</v>
          </cell>
          <cell r="W20" t="str">
            <v>RDA2020000</v>
          </cell>
          <cell r="X20" t="str">
            <v>TRA-2 排水溝施工</v>
          </cell>
          <cell r="Y20">
            <v>38039</v>
          </cell>
          <cell r="Z20">
            <v>38043</v>
          </cell>
        </row>
        <row r="21">
          <cell r="B21" t="str">
            <v>RDB5010000</v>
          </cell>
          <cell r="C21" t="str">
            <v>FT(A) 擋土牆施工</v>
          </cell>
          <cell r="D21">
            <v>38098</v>
          </cell>
          <cell r="E21">
            <v>38101</v>
          </cell>
          <cell r="W21" t="str">
            <v>RDA0030100</v>
          </cell>
          <cell r="X21" t="str">
            <v>南下280k+296--406路</v>
          </cell>
          <cell r="Y21">
            <v>38046</v>
          </cell>
          <cell r="Z21">
            <v>38075</v>
          </cell>
        </row>
        <row r="22">
          <cell r="B22" t="str">
            <v>RDB4010000</v>
          </cell>
          <cell r="C22" t="str">
            <v>FT1 擋土牆施工</v>
          </cell>
          <cell r="D22">
            <v>38102</v>
          </cell>
          <cell r="E22">
            <v>38109</v>
          </cell>
          <cell r="W22" t="str">
            <v>RDA3010000</v>
          </cell>
          <cell r="X22" t="str">
            <v>OFFRD-1 0k+720--1k+0</v>
          </cell>
          <cell r="Y22">
            <v>38046</v>
          </cell>
          <cell r="Z22">
            <v>38075</v>
          </cell>
        </row>
        <row r="23">
          <cell r="B23" t="str">
            <v>RDB5020000</v>
          </cell>
          <cell r="C23" t="str">
            <v>FT(A) 排水溝施工</v>
          </cell>
          <cell r="D23">
            <v>38102</v>
          </cell>
          <cell r="E23">
            <v>38104</v>
          </cell>
          <cell r="W23" t="str">
            <v>RDA3020000</v>
          </cell>
          <cell r="X23" t="str">
            <v>OFFRD-1 0k+720--1k+0</v>
          </cell>
          <cell r="Y23">
            <v>38061</v>
          </cell>
          <cell r="Z23">
            <v>38085</v>
          </cell>
        </row>
        <row r="24">
          <cell r="B24" t="str">
            <v>RDB1020000</v>
          </cell>
          <cell r="C24" t="str">
            <v>OFFRD-2 排水溝施工</v>
          </cell>
          <cell r="D24">
            <v>38105</v>
          </cell>
          <cell r="E24">
            <v>38126</v>
          </cell>
          <cell r="W24" t="str">
            <v>RDA0030110</v>
          </cell>
          <cell r="X24" t="str">
            <v>南下280k+406--516路</v>
          </cell>
          <cell r="Y24">
            <v>38076</v>
          </cell>
          <cell r="Z24">
            <v>38105</v>
          </cell>
        </row>
        <row r="25">
          <cell r="B25" t="str">
            <v>RDB0030100</v>
          </cell>
          <cell r="C25" t="str">
            <v>東側路基回填</v>
          </cell>
          <cell r="D25">
            <v>38110</v>
          </cell>
          <cell r="E25">
            <v>38340</v>
          </cell>
          <cell r="W25" t="str">
            <v>RDA3010010</v>
          </cell>
          <cell r="X25" t="str">
            <v>OFFRD-1 0k+600--720</v>
          </cell>
          <cell r="Y25">
            <v>38076</v>
          </cell>
          <cell r="Z25">
            <v>38097</v>
          </cell>
        </row>
        <row r="26">
          <cell r="B26" t="str">
            <v>RDB6010000</v>
          </cell>
          <cell r="C26" t="str">
            <v>FT(B) 擋土牆施工</v>
          </cell>
          <cell r="D26">
            <v>38110</v>
          </cell>
          <cell r="E26">
            <v>38139</v>
          </cell>
          <cell r="W26" t="str">
            <v>RDA3020010</v>
          </cell>
          <cell r="X26" t="str">
            <v>OFFRD-1 0k+600--720</v>
          </cell>
          <cell r="Y26">
            <v>38086</v>
          </cell>
          <cell r="Z26">
            <v>38101</v>
          </cell>
        </row>
        <row r="27">
          <cell r="B27" t="str">
            <v>RDB6020000</v>
          </cell>
          <cell r="C27" t="str">
            <v>FT(B) 排水溝施工</v>
          </cell>
          <cell r="D27">
            <v>38127</v>
          </cell>
          <cell r="E27">
            <v>38151</v>
          </cell>
          <cell r="W27" t="str">
            <v>RDB5010000</v>
          </cell>
          <cell r="X27" t="str">
            <v>FT(A) 0K+360- -389擋</v>
          </cell>
          <cell r="Y27">
            <v>38098</v>
          </cell>
          <cell r="Z27">
            <v>38101</v>
          </cell>
        </row>
        <row r="28">
          <cell r="B28" t="str">
            <v>RDA0030200</v>
          </cell>
          <cell r="C28" t="str">
            <v>西側路底級配回填</v>
          </cell>
          <cell r="D28">
            <v>38277</v>
          </cell>
          <cell r="E28">
            <v>38278</v>
          </cell>
          <cell r="W28" t="str">
            <v>RDB4010000</v>
          </cell>
          <cell r="X28" t="str">
            <v>FT1 擋土牆施工</v>
          </cell>
          <cell r="Y28">
            <v>38102</v>
          </cell>
          <cell r="Z28">
            <v>38109</v>
          </cell>
        </row>
        <row r="29">
          <cell r="B29" t="str">
            <v>RDA1060000</v>
          </cell>
          <cell r="C29" t="str">
            <v>TRA 護欄與緣石</v>
          </cell>
          <cell r="D29">
            <v>38279</v>
          </cell>
          <cell r="E29">
            <v>38314</v>
          </cell>
          <cell r="W29" t="str">
            <v>RDB5020000</v>
          </cell>
          <cell r="X29" t="str">
            <v>FT(A) 0K+360- -389排</v>
          </cell>
          <cell r="Y29">
            <v>38102</v>
          </cell>
          <cell r="Z29">
            <v>38104</v>
          </cell>
        </row>
        <row r="30">
          <cell r="B30" t="str">
            <v>RDA2060000</v>
          </cell>
          <cell r="C30" t="str">
            <v>TRA-2 護欄與緣石</v>
          </cell>
          <cell r="D30">
            <v>38315</v>
          </cell>
          <cell r="E30">
            <v>38322</v>
          </cell>
          <cell r="W30" t="str">
            <v>RDB1020000</v>
          </cell>
          <cell r="X30" t="str">
            <v>OFFRD-2 排水溝施工</v>
          </cell>
          <cell r="Y30">
            <v>38105</v>
          </cell>
          <cell r="Z30">
            <v>38126</v>
          </cell>
        </row>
        <row r="31">
          <cell r="B31" t="str">
            <v>RDA3060000</v>
          </cell>
          <cell r="C31" t="str">
            <v>OFFRD-1 護欄與緣石</v>
          </cell>
          <cell r="D31">
            <v>38323</v>
          </cell>
          <cell r="E31">
            <v>38368</v>
          </cell>
          <cell r="W31" t="str">
            <v>RDA0030120</v>
          </cell>
          <cell r="X31" t="str">
            <v>南下280k+516--626路</v>
          </cell>
          <cell r="Y31">
            <v>38106</v>
          </cell>
          <cell r="Z31">
            <v>38135</v>
          </cell>
        </row>
        <row r="32">
          <cell r="B32" t="str">
            <v>RDB0030200</v>
          </cell>
          <cell r="C32" t="str">
            <v>東側路底級配回填</v>
          </cell>
          <cell r="D32">
            <v>38341</v>
          </cell>
          <cell r="E32">
            <v>38342</v>
          </cell>
          <cell r="W32" t="str">
            <v>RDB0030170</v>
          </cell>
          <cell r="X32" t="str">
            <v>北上281k+085--281k+1</v>
          </cell>
          <cell r="Y32">
            <v>38110</v>
          </cell>
          <cell r="Z32">
            <v>38130</v>
          </cell>
        </row>
        <row r="33">
          <cell r="B33" t="str">
            <v>RDB2060000</v>
          </cell>
          <cell r="C33" t="str">
            <v>TRB 護欄與緣石</v>
          </cell>
          <cell r="D33">
            <v>38343</v>
          </cell>
          <cell r="E33">
            <v>38367</v>
          </cell>
          <cell r="W33" t="str">
            <v>RDB6010000</v>
          </cell>
          <cell r="X33" t="str">
            <v>FT(B) 0K+024- -347擋</v>
          </cell>
          <cell r="Y33">
            <v>38110</v>
          </cell>
          <cell r="Z33">
            <v>38139</v>
          </cell>
        </row>
        <row r="34">
          <cell r="B34" t="str">
            <v>RDB1060000</v>
          </cell>
          <cell r="C34" t="str">
            <v>OFFRD-2 護欄與緣石</v>
          </cell>
          <cell r="D34">
            <v>38368</v>
          </cell>
          <cell r="E34">
            <v>38391</v>
          </cell>
          <cell r="W34" t="str">
            <v>RDB6020000</v>
          </cell>
          <cell r="X34" t="str">
            <v>FT(B) 0K+024- -347排</v>
          </cell>
          <cell r="Y34">
            <v>38127</v>
          </cell>
          <cell r="Z34">
            <v>38151</v>
          </cell>
        </row>
        <row r="35">
          <cell r="B35" t="str">
            <v>RDB5060000</v>
          </cell>
          <cell r="C35" t="str">
            <v>FT,FT1 護欄與緣石</v>
          </cell>
          <cell r="D35">
            <v>38392</v>
          </cell>
          <cell r="E35">
            <v>38397</v>
          </cell>
          <cell r="W35" t="str">
            <v>RDB0030160</v>
          </cell>
          <cell r="X35" t="str">
            <v>北上281k+040--281k+0</v>
          </cell>
          <cell r="Y35">
            <v>38131</v>
          </cell>
          <cell r="Z35">
            <v>38160</v>
          </cell>
        </row>
        <row r="36">
          <cell r="B36" t="str">
            <v>RD00050000</v>
          </cell>
          <cell r="C36" t="str">
            <v>號誌施作與標線</v>
          </cell>
          <cell r="D36">
            <v>38419</v>
          </cell>
          <cell r="E36">
            <v>38425</v>
          </cell>
          <cell r="W36" t="str">
            <v>RDA0030130</v>
          </cell>
          <cell r="X36" t="str">
            <v>南下280k+626--736路</v>
          </cell>
          <cell r="Y36">
            <v>38136</v>
          </cell>
          <cell r="Z36">
            <v>38165</v>
          </cell>
        </row>
        <row r="37">
          <cell r="B37" t="str">
            <v>RD00070000</v>
          </cell>
          <cell r="C37" t="str">
            <v>邊坡植草</v>
          </cell>
          <cell r="D37">
            <v>38426</v>
          </cell>
          <cell r="E37">
            <v>38446</v>
          </cell>
          <cell r="W37" t="str">
            <v>RDB0030150</v>
          </cell>
          <cell r="X37" t="str">
            <v>北上280k+995--281k+0</v>
          </cell>
          <cell r="Y37">
            <v>38161</v>
          </cell>
          <cell r="Z37">
            <v>38190</v>
          </cell>
        </row>
        <row r="38">
          <cell r="W38" t="str">
            <v>RDA0030140</v>
          </cell>
          <cell r="X38" t="str">
            <v>南下280k+736--846路</v>
          </cell>
          <cell r="Y38">
            <v>38166</v>
          </cell>
          <cell r="Z38">
            <v>38195</v>
          </cell>
        </row>
        <row r="39">
          <cell r="B39" t="str">
            <v>AR01010100</v>
          </cell>
          <cell r="C39" t="str">
            <v>票亭 GF  結構體</v>
          </cell>
          <cell r="D39">
            <v>38196</v>
          </cell>
          <cell r="E39">
            <v>38200</v>
          </cell>
          <cell r="W39" t="str">
            <v>RDB0030140</v>
          </cell>
          <cell r="X39" t="str">
            <v>北上280k+950--995路</v>
          </cell>
          <cell r="Y39">
            <v>38191</v>
          </cell>
          <cell r="Z39">
            <v>38220</v>
          </cell>
        </row>
        <row r="40">
          <cell r="B40" t="str">
            <v>AR02010100</v>
          </cell>
          <cell r="C40" t="str">
            <v>西側地磅 GF  結構體</v>
          </cell>
          <cell r="D40">
            <v>38196</v>
          </cell>
          <cell r="E40">
            <v>38201</v>
          </cell>
          <cell r="W40" t="str">
            <v>RDA0030150</v>
          </cell>
          <cell r="X40" t="str">
            <v>南下280k+846--956路</v>
          </cell>
          <cell r="Y40">
            <v>38196</v>
          </cell>
          <cell r="Z40">
            <v>38225</v>
          </cell>
        </row>
        <row r="41">
          <cell r="B41" t="str">
            <v>AR01030100</v>
          </cell>
          <cell r="C41" t="str">
            <v>票亭水電工程</v>
          </cell>
          <cell r="D41">
            <v>38200</v>
          </cell>
          <cell r="E41">
            <v>38203</v>
          </cell>
          <cell r="W41" t="str">
            <v>RDB0030130</v>
          </cell>
          <cell r="X41" t="str">
            <v>北上280k+905--950路</v>
          </cell>
          <cell r="Y41">
            <v>38221</v>
          </cell>
          <cell r="Z41">
            <v>38250</v>
          </cell>
        </row>
        <row r="42">
          <cell r="B42" t="str">
            <v>AR02030100</v>
          </cell>
          <cell r="C42" t="str">
            <v>西側地磅水電工程</v>
          </cell>
          <cell r="D42">
            <v>38200</v>
          </cell>
          <cell r="E42">
            <v>38203</v>
          </cell>
          <cell r="W42" t="str">
            <v>RDA0030160</v>
          </cell>
          <cell r="X42" t="str">
            <v>南下280k+956--1066路</v>
          </cell>
          <cell r="Y42">
            <v>38226</v>
          </cell>
          <cell r="Z42">
            <v>38255</v>
          </cell>
        </row>
        <row r="43">
          <cell r="B43" t="str">
            <v>AR01010200</v>
          </cell>
          <cell r="C43" t="str">
            <v>票亭 1F  結構體</v>
          </cell>
          <cell r="D43">
            <v>38201</v>
          </cell>
          <cell r="E43">
            <v>38206</v>
          </cell>
          <cell r="W43" t="str">
            <v>RDB0030120</v>
          </cell>
          <cell r="X43" t="str">
            <v>北上280k+860--905路</v>
          </cell>
          <cell r="Y43">
            <v>38251</v>
          </cell>
          <cell r="Z43">
            <v>38280</v>
          </cell>
        </row>
        <row r="44">
          <cell r="B44" t="str">
            <v>AR02010200</v>
          </cell>
          <cell r="C44" t="str">
            <v>西側地磅 1F  結構體</v>
          </cell>
          <cell r="D44">
            <v>38202</v>
          </cell>
          <cell r="E44">
            <v>38208</v>
          </cell>
          <cell r="W44" t="str">
            <v>RDA0030170</v>
          </cell>
          <cell r="X44" t="str">
            <v>南下281k+066--141路</v>
          </cell>
          <cell r="Y44">
            <v>38256</v>
          </cell>
          <cell r="Z44">
            <v>38276</v>
          </cell>
        </row>
        <row r="45">
          <cell r="B45" t="str">
            <v>AR01020000</v>
          </cell>
          <cell r="C45" t="str">
            <v>票亭裝修工程</v>
          </cell>
          <cell r="D45">
            <v>38207</v>
          </cell>
          <cell r="E45">
            <v>38214</v>
          </cell>
          <cell r="W45" t="str">
            <v>RDA0030200</v>
          </cell>
          <cell r="X45" t="str">
            <v>南下路底級配回填</v>
          </cell>
          <cell r="Y45">
            <v>38277</v>
          </cell>
          <cell r="Z45">
            <v>38278</v>
          </cell>
        </row>
        <row r="46">
          <cell r="B46" t="str">
            <v>AR02020000</v>
          </cell>
          <cell r="C46" t="str">
            <v>西側地磅裝修工程</v>
          </cell>
          <cell r="D46">
            <v>38209</v>
          </cell>
          <cell r="E46">
            <v>38218</v>
          </cell>
          <cell r="W46" t="str">
            <v>RDA1060010</v>
          </cell>
          <cell r="X46" t="str">
            <v>TRA 0k+000--159護欄</v>
          </cell>
          <cell r="Y46">
            <v>38279</v>
          </cell>
          <cell r="Z46">
            <v>38299</v>
          </cell>
        </row>
        <row r="47">
          <cell r="B47" t="str">
            <v>AR01030200</v>
          </cell>
          <cell r="C47" t="str">
            <v>票亭設備安裝</v>
          </cell>
          <cell r="D47">
            <v>38212</v>
          </cell>
          <cell r="E47">
            <v>38214</v>
          </cell>
          <cell r="W47" t="str">
            <v>RDB0030110</v>
          </cell>
          <cell r="X47" t="str">
            <v>北上280k+815--860路</v>
          </cell>
          <cell r="Y47">
            <v>38281</v>
          </cell>
          <cell r="Z47">
            <v>38310</v>
          </cell>
        </row>
        <row r="48">
          <cell r="B48" t="str">
            <v>AR02030200</v>
          </cell>
          <cell r="C48" t="str">
            <v>西側地磅設備安裝</v>
          </cell>
          <cell r="D48">
            <v>38216</v>
          </cell>
          <cell r="E48">
            <v>38218</v>
          </cell>
          <cell r="W48" t="str">
            <v>RDA1060000</v>
          </cell>
          <cell r="X48" t="str">
            <v>TRA 0k+260--378護欄</v>
          </cell>
          <cell r="Y48">
            <v>38300</v>
          </cell>
          <cell r="Z48">
            <v>38314</v>
          </cell>
        </row>
        <row r="49">
          <cell r="B49" t="str">
            <v>AR03010100</v>
          </cell>
          <cell r="C49" t="str">
            <v>東側地磅 GF  結構體</v>
          </cell>
          <cell r="D49">
            <v>38219</v>
          </cell>
          <cell r="E49">
            <v>38224</v>
          </cell>
          <cell r="W49" t="str">
            <v>RDB0030100</v>
          </cell>
          <cell r="X49" t="str">
            <v>北上280k+770--815路</v>
          </cell>
          <cell r="Y49">
            <v>38311</v>
          </cell>
          <cell r="Z49">
            <v>38340</v>
          </cell>
        </row>
        <row r="50">
          <cell r="B50" t="str">
            <v>AR03030100</v>
          </cell>
          <cell r="C50" t="str">
            <v>東側地磅水電工程</v>
          </cell>
          <cell r="D50">
            <v>38223</v>
          </cell>
          <cell r="E50">
            <v>38226</v>
          </cell>
          <cell r="W50" t="str">
            <v>RDA2060000</v>
          </cell>
          <cell r="X50" t="str">
            <v>TRA-2 護欄與緣石</v>
          </cell>
          <cell r="Y50">
            <v>38315</v>
          </cell>
          <cell r="Z50">
            <v>38322</v>
          </cell>
        </row>
        <row r="51">
          <cell r="B51" t="str">
            <v>AR03010200</v>
          </cell>
          <cell r="C51" t="str">
            <v>東側地磅 1F  結構體</v>
          </cell>
          <cell r="D51">
            <v>38225</v>
          </cell>
          <cell r="E51">
            <v>38231</v>
          </cell>
          <cell r="W51" t="str">
            <v>RDA3060000</v>
          </cell>
          <cell r="X51" t="str">
            <v>OFFRD-1 0k+720--1k+0</v>
          </cell>
          <cell r="Y51">
            <v>38323</v>
          </cell>
          <cell r="Z51">
            <v>38352</v>
          </cell>
        </row>
        <row r="52">
          <cell r="B52" t="str">
            <v>AR03020000</v>
          </cell>
          <cell r="C52" t="str">
            <v>東側地磅裝修工程</v>
          </cell>
          <cell r="D52">
            <v>38232</v>
          </cell>
          <cell r="E52">
            <v>38241</v>
          </cell>
          <cell r="W52" t="str">
            <v>RDB0030200</v>
          </cell>
          <cell r="X52" t="str">
            <v>北上路底級配回填</v>
          </cell>
          <cell r="Y52">
            <v>38341</v>
          </cell>
          <cell r="Z52">
            <v>38342</v>
          </cell>
        </row>
        <row r="53">
          <cell r="B53" t="str">
            <v>AR03030200</v>
          </cell>
          <cell r="C53" t="str">
            <v>東側地磅設備安裝</v>
          </cell>
          <cell r="D53">
            <v>38239</v>
          </cell>
          <cell r="E53">
            <v>38241</v>
          </cell>
          <cell r="W53" t="str">
            <v>RDB2060000</v>
          </cell>
          <cell r="X53" t="str">
            <v>TRB 護欄與緣石</v>
          </cell>
          <cell r="Y53">
            <v>38343</v>
          </cell>
          <cell r="Z53">
            <v>38367</v>
          </cell>
        </row>
        <row r="54">
          <cell r="W54" t="str">
            <v>RDA3060010</v>
          </cell>
          <cell r="X54" t="str">
            <v>OFFRD-1 0k+600--720</v>
          </cell>
          <cell r="Y54">
            <v>38353</v>
          </cell>
          <cell r="Z54">
            <v>38368</v>
          </cell>
        </row>
        <row r="55">
          <cell r="B55" t="str">
            <v>RDA0040220</v>
          </cell>
          <cell r="C55" t="str">
            <v>西側剛性路面AC底層鋪</v>
          </cell>
          <cell r="D55">
            <v>38309</v>
          </cell>
          <cell r="E55">
            <v>38309</v>
          </cell>
          <cell r="W55" t="str">
            <v>RDB1060000</v>
          </cell>
          <cell r="X55" t="str">
            <v>OFFRD-2 護欄與緣石</v>
          </cell>
          <cell r="Y55">
            <v>38368</v>
          </cell>
          <cell r="Z55">
            <v>38391</v>
          </cell>
        </row>
        <row r="56">
          <cell r="B56" t="str">
            <v>RDA1040210</v>
          </cell>
          <cell r="C56" t="str">
            <v>TRA 剛性路面鋪設</v>
          </cell>
          <cell r="D56">
            <v>38310</v>
          </cell>
          <cell r="E56">
            <v>38321</v>
          </cell>
          <cell r="W56" t="str">
            <v>RDB5060000</v>
          </cell>
          <cell r="X56" t="str">
            <v>FT,FT1 護欄與緣石</v>
          </cell>
          <cell r="Y56">
            <v>38392</v>
          </cell>
          <cell r="Z56">
            <v>38397</v>
          </cell>
        </row>
        <row r="57">
          <cell r="B57" t="str">
            <v>RDA2040210</v>
          </cell>
          <cell r="C57" t="str">
            <v>TRA-2剛性路面鋪設</v>
          </cell>
          <cell r="D57">
            <v>38322</v>
          </cell>
          <cell r="E57">
            <v>38336</v>
          </cell>
          <cell r="W57" t="str">
            <v>RD00050000</v>
          </cell>
          <cell r="X57" t="str">
            <v>號誌施作與標線</v>
          </cell>
          <cell r="Y57">
            <v>38419</v>
          </cell>
          <cell r="Z57">
            <v>38425</v>
          </cell>
        </row>
        <row r="58">
          <cell r="B58" t="str">
            <v>RDB0040220</v>
          </cell>
          <cell r="C58" t="str">
            <v>東側剛性路面AC底層鋪</v>
          </cell>
          <cell r="D58">
            <v>38398</v>
          </cell>
          <cell r="E58">
            <v>38398</v>
          </cell>
          <cell r="W58" t="str">
            <v>RD00070000</v>
          </cell>
          <cell r="X58" t="str">
            <v>邊坡植草</v>
          </cell>
          <cell r="Y58">
            <v>38426</v>
          </cell>
          <cell r="Z58">
            <v>38446</v>
          </cell>
        </row>
        <row r="59">
          <cell r="B59" t="str">
            <v>RDB2040210</v>
          </cell>
          <cell r="C59" t="str">
            <v>TRB 剛性路面鋪設</v>
          </cell>
          <cell r="D59">
            <v>38399</v>
          </cell>
          <cell r="E59">
            <v>38410</v>
          </cell>
          <cell r="W59" t="str">
            <v>AR01010100</v>
          </cell>
          <cell r="X59" t="str">
            <v>票亭 GF  結構體</v>
          </cell>
          <cell r="Y59">
            <v>38196</v>
          </cell>
          <cell r="Z59">
            <v>38200</v>
          </cell>
        </row>
        <row r="60">
          <cell r="B60" t="str">
            <v>RDA0040120</v>
          </cell>
          <cell r="C60" t="str">
            <v>西側剛性路面路肩AC鋪</v>
          </cell>
          <cell r="D60">
            <v>38369</v>
          </cell>
          <cell r="E60">
            <v>38370</v>
          </cell>
          <cell r="W60" t="str">
            <v>AR02010100</v>
          </cell>
          <cell r="X60" t="str">
            <v>南下地磅 GF  結構體</v>
          </cell>
          <cell r="Y60">
            <v>38196</v>
          </cell>
          <cell r="Z60">
            <v>38201</v>
          </cell>
        </row>
        <row r="61">
          <cell r="B61" t="str">
            <v>RDA3040110</v>
          </cell>
          <cell r="C61" t="str">
            <v>OFFRD-1 AC路面鋪設</v>
          </cell>
          <cell r="D61">
            <v>38371</v>
          </cell>
          <cell r="E61">
            <v>38371</v>
          </cell>
          <cell r="W61" t="str">
            <v>AR01030100</v>
          </cell>
          <cell r="X61" t="str">
            <v>票亭水電工程</v>
          </cell>
          <cell r="Y61">
            <v>38200</v>
          </cell>
          <cell r="Z61">
            <v>38203</v>
          </cell>
        </row>
        <row r="62">
          <cell r="B62" t="str">
            <v>RDB3040210</v>
          </cell>
          <cell r="C62" t="str">
            <v>TRB-2剛性路面鋪設</v>
          </cell>
          <cell r="D62">
            <v>38411</v>
          </cell>
          <cell r="E62">
            <v>38414</v>
          </cell>
          <cell r="W62" t="str">
            <v>AR02030100</v>
          </cell>
          <cell r="X62" t="str">
            <v>南下地磅水電工程</v>
          </cell>
          <cell r="Y62">
            <v>38200</v>
          </cell>
          <cell r="Z62">
            <v>38203</v>
          </cell>
        </row>
        <row r="63">
          <cell r="B63" t="str">
            <v>RDB0040120</v>
          </cell>
          <cell r="C63" t="str">
            <v>東側剛性路面路肩AC鋪</v>
          </cell>
          <cell r="D63">
            <v>38415</v>
          </cell>
          <cell r="E63">
            <v>38416</v>
          </cell>
          <cell r="W63" t="str">
            <v>AR01010200</v>
          </cell>
          <cell r="X63" t="str">
            <v>票亭 1F  結構體</v>
          </cell>
          <cell r="Y63">
            <v>38201</v>
          </cell>
          <cell r="Z63">
            <v>38206</v>
          </cell>
        </row>
        <row r="64">
          <cell r="B64" t="str">
            <v>RDB1040110</v>
          </cell>
          <cell r="C64" t="str">
            <v>OFFRD-2 AC路面鋪設</v>
          </cell>
          <cell r="D64">
            <v>38417</v>
          </cell>
          <cell r="E64">
            <v>38417</v>
          </cell>
          <cell r="W64" t="str">
            <v>AR02010200</v>
          </cell>
          <cell r="X64" t="str">
            <v>南下地磅 1F  結構體</v>
          </cell>
          <cell r="Y64">
            <v>38202</v>
          </cell>
          <cell r="Z64">
            <v>38208</v>
          </cell>
        </row>
        <row r="65">
          <cell r="B65" t="str">
            <v>RDB5040110</v>
          </cell>
          <cell r="C65" t="str">
            <v>FT,FT1 AC路面鋪設</v>
          </cell>
          <cell r="D65">
            <v>38418</v>
          </cell>
          <cell r="E65">
            <v>38418</v>
          </cell>
          <cell r="W65" t="str">
            <v>AR01020000</v>
          </cell>
          <cell r="X65" t="str">
            <v>票亭裝修工程</v>
          </cell>
          <cell r="Y65">
            <v>38207</v>
          </cell>
          <cell r="Z65">
            <v>38214</v>
          </cell>
        </row>
        <row r="66">
          <cell r="W66" t="str">
            <v>AR02020000</v>
          </cell>
          <cell r="X66" t="str">
            <v>南下地磅裝修工程</v>
          </cell>
          <cell r="Y66">
            <v>38209</v>
          </cell>
          <cell r="Z66">
            <v>38218</v>
          </cell>
        </row>
        <row r="67">
          <cell r="B67" t="str">
            <v>EMA0010100</v>
          </cell>
          <cell r="C67" t="str">
            <v>西側電話與交管用人孔</v>
          </cell>
          <cell r="D67">
            <v>38279</v>
          </cell>
          <cell r="E67">
            <v>38298</v>
          </cell>
          <cell r="W67" t="str">
            <v>AR01030200</v>
          </cell>
          <cell r="X67" t="str">
            <v>票亭設備安裝</v>
          </cell>
          <cell r="Y67">
            <v>38212</v>
          </cell>
          <cell r="Z67">
            <v>38214</v>
          </cell>
        </row>
        <row r="68">
          <cell r="B68" t="str">
            <v>EMA0020100</v>
          </cell>
          <cell r="C68" t="str">
            <v>西側照明基座及手孔施</v>
          </cell>
          <cell r="D68">
            <v>38279</v>
          </cell>
          <cell r="E68">
            <v>38288</v>
          </cell>
          <cell r="W68" t="str">
            <v>AR02030200</v>
          </cell>
          <cell r="X68" t="str">
            <v>南下地磅設備安裝</v>
          </cell>
          <cell r="Y68">
            <v>38216</v>
          </cell>
          <cell r="Z68">
            <v>38218</v>
          </cell>
        </row>
        <row r="69">
          <cell r="B69" t="str">
            <v>EMA0020200</v>
          </cell>
          <cell r="C69" t="str">
            <v>西側照明管線埋設</v>
          </cell>
          <cell r="D69">
            <v>38289</v>
          </cell>
          <cell r="E69">
            <v>38298</v>
          </cell>
          <cell r="W69" t="str">
            <v>AR03010100</v>
          </cell>
          <cell r="X69" t="str">
            <v>北上地磅 GF  結構體</v>
          </cell>
          <cell r="Y69">
            <v>38219</v>
          </cell>
          <cell r="Z69">
            <v>38224</v>
          </cell>
        </row>
        <row r="70">
          <cell r="B70" t="str">
            <v>EMA0010200</v>
          </cell>
          <cell r="C70" t="str">
            <v>西側電話與交管管線埋</v>
          </cell>
          <cell r="D70">
            <v>38299</v>
          </cell>
          <cell r="E70">
            <v>38308</v>
          </cell>
          <cell r="W70" t="str">
            <v>AR03030100</v>
          </cell>
          <cell r="X70" t="str">
            <v>北上地磅水電工程</v>
          </cell>
          <cell r="Y70">
            <v>38223</v>
          </cell>
          <cell r="Z70">
            <v>38226</v>
          </cell>
        </row>
        <row r="71">
          <cell r="B71" t="str">
            <v>EMA0020300</v>
          </cell>
          <cell r="C71" t="str">
            <v>西側燈桿及燈泡安裝</v>
          </cell>
          <cell r="D71">
            <v>38299</v>
          </cell>
          <cell r="E71">
            <v>38306</v>
          </cell>
          <cell r="W71" t="str">
            <v>AR03010200</v>
          </cell>
          <cell r="X71" t="str">
            <v>北上地磅 1F  結構體</v>
          </cell>
          <cell r="Y71">
            <v>38225</v>
          </cell>
          <cell r="Z71">
            <v>38231</v>
          </cell>
        </row>
        <row r="72">
          <cell r="B72" t="str">
            <v>EMB0010100</v>
          </cell>
          <cell r="C72" t="str">
            <v>東側電話與交管用人孔</v>
          </cell>
          <cell r="D72">
            <v>38343</v>
          </cell>
          <cell r="E72">
            <v>38362</v>
          </cell>
          <cell r="W72" t="str">
            <v>AR03020000</v>
          </cell>
          <cell r="X72" t="str">
            <v>北上地磅裝修工程</v>
          </cell>
          <cell r="Y72">
            <v>38232</v>
          </cell>
          <cell r="Z72">
            <v>38241</v>
          </cell>
        </row>
        <row r="73">
          <cell r="B73" t="str">
            <v>EMB0020100</v>
          </cell>
          <cell r="C73" t="str">
            <v>東側照明基座及手孔施</v>
          </cell>
          <cell r="D73">
            <v>38343</v>
          </cell>
          <cell r="E73">
            <v>38352</v>
          </cell>
          <cell r="W73" t="str">
            <v>AR03030200</v>
          </cell>
          <cell r="X73" t="str">
            <v>北上地磅設備安裝</v>
          </cell>
          <cell r="Y73">
            <v>38239</v>
          </cell>
          <cell r="Z73">
            <v>38241</v>
          </cell>
        </row>
        <row r="74">
          <cell r="B74" t="str">
            <v>EMB0020200</v>
          </cell>
          <cell r="C74" t="str">
            <v>東側照明管線埋設</v>
          </cell>
          <cell r="D74">
            <v>38353</v>
          </cell>
          <cell r="E74">
            <v>38362</v>
          </cell>
          <cell r="W74" t="str">
            <v>RDA0040220</v>
          </cell>
          <cell r="X74" t="str">
            <v>南下剛性路面AC底層鋪</v>
          </cell>
          <cell r="Y74">
            <v>38309</v>
          </cell>
          <cell r="Z74">
            <v>38309</v>
          </cell>
        </row>
        <row r="75">
          <cell r="B75" t="str">
            <v>EMB0010200</v>
          </cell>
          <cell r="C75" t="str">
            <v>東側電話與交管管線埋</v>
          </cell>
          <cell r="D75">
            <v>38363</v>
          </cell>
          <cell r="E75">
            <v>38372</v>
          </cell>
          <cell r="W75" t="str">
            <v>RDA1040210</v>
          </cell>
          <cell r="X75" t="str">
            <v>TRA 剛性路面鋪設</v>
          </cell>
          <cell r="Y75">
            <v>38310</v>
          </cell>
          <cell r="Z75">
            <v>38321</v>
          </cell>
        </row>
        <row r="76">
          <cell r="B76" t="str">
            <v>EMB0020300</v>
          </cell>
          <cell r="C76" t="str">
            <v>東側燈桿及燈泡安裝</v>
          </cell>
          <cell r="D76">
            <v>38363</v>
          </cell>
          <cell r="E76">
            <v>38370</v>
          </cell>
          <cell r="W76" t="str">
            <v>RDA2040210</v>
          </cell>
          <cell r="X76" t="str">
            <v>TRA-2剛性路面鋪設</v>
          </cell>
          <cell r="Y76">
            <v>38322</v>
          </cell>
          <cell r="Z76">
            <v>38336</v>
          </cell>
        </row>
        <row r="77">
          <cell r="W77" t="str">
            <v>RDA0040120</v>
          </cell>
          <cell r="X77" t="str">
            <v>南下剛性路面路肩AC鋪</v>
          </cell>
          <cell r="Y77">
            <v>38369</v>
          </cell>
          <cell r="Z77">
            <v>38370</v>
          </cell>
        </row>
        <row r="78">
          <cell r="B78" t="str">
            <v>MS00030000</v>
          </cell>
          <cell r="C78" t="str">
            <v>矮型圍籬施作</v>
          </cell>
          <cell r="D78">
            <v>38372</v>
          </cell>
          <cell r="E78">
            <v>38425</v>
          </cell>
          <cell r="W78" t="str">
            <v>RDA3040110</v>
          </cell>
          <cell r="X78" t="str">
            <v>OFFRD-1 AC路面鋪設</v>
          </cell>
          <cell r="Y78">
            <v>38371</v>
          </cell>
          <cell r="Z78">
            <v>38371</v>
          </cell>
        </row>
        <row r="79">
          <cell r="B79" t="str">
            <v>MS00040000</v>
          </cell>
          <cell r="C79" t="str">
            <v>現場清理</v>
          </cell>
          <cell r="D79">
            <v>38447</v>
          </cell>
          <cell r="E79">
            <v>38453</v>
          </cell>
          <cell r="W79" t="str">
            <v>RDB0040220</v>
          </cell>
          <cell r="X79" t="str">
            <v>北上剛性路面AC底層鋪</v>
          </cell>
          <cell r="Y79">
            <v>38398</v>
          </cell>
          <cell r="Z79">
            <v>38398</v>
          </cell>
        </row>
        <row r="80">
          <cell r="B80" t="str">
            <v>MS00050000</v>
          </cell>
          <cell r="C80" t="str">
            <v>完工驗收</v>
          </cell>
          <cell r="D80">
            <v>38454</v>
          </cell>
          <cell r="E80">
            <v>38454</v>
          </cell>
          <cell r="W80" t="str">
            <v>RDB2040210</v>
          </cell>
          <cell r="X80" t="str">
            <v>TRB 剛性路面鋪設</v>
          </cell>
          <cell r="Y80">
            <v>38399</v>
          </cell>
          <cell r="Z80">
            <v>38410</v>
          </cell>
        </row>
        <row r="81">
          <cell r="W81" t="str">
            <v>RDB3040210</v>
          </cell>
          <cell r="X81" t="str">
            <v>TRB-2剛性路面鋪設</v>
          </cell>
          <cell r="Y81">
            <v>38411</v>
          </cell>
          <cell r="Z81">
            <v>38414</v>
          </cell>
        </row>
        <row r="82">
          <cell r="W82" t="str">
            <v>RDB0040120</v>
          </cell>
          <cell r="X82" t="str">
            <v>北上剛性路面路肩AC鋪</v>
          </cell>
          <cell r="Y82">
            <v>38415</v>
          </cell>
          <cell r="Z82">
            <v>38416</v>
          </cell>
        </row>
        <row r="83">
          <cell r="W83" t="str">
            <v>RDB1040110</v>
          </cell>
          <cell r="X83" t="str">
            <v>OFFRD-2 AC路面鋪設</v>
          </cell>
          <cell r="Y83">
            <v>38417</v>
          </cell>
          <cell r="Z83">
            <v>38417</v>
          </cell>
        </row>
        <row r="84">
          <cell r="W84" t="str">
            <v>RDB5040110</v>
          </cell>
          <cell r="X84" t="str">
            <v>FT,FT1 AC路面鋪設</v>
          </cell>
          <cell r="Y84">
            <v>38418</v>
          </cell>
          <cell r="Z84">
            <v>38418</v>
          </cell>
        </row>
        <row r="85">
          <cell r="W85" t="str">
            <v>EMA0010100</v>
          </cell>
          <cell r="X85" t="str">
            <v>南下電話與交管用人孔</v>
          </cell>
          <cell r="Y85">
            <v>38279</v>
          </cell>
          <cell r="Z85">
            <v>38298</v>
          </cell>
        </row>
        <row r="86">
          <cell r="W86" t="str">
            <v>EMA0020100</v>
          </cell>
          <cell r="X86" t="str">
            <v>南下照明基座及手孔施</v>
          </cell>
          <cell r="Y86">
            <v>38279</v>
          </cell>
          <cell r="Z86">
            <v>38288</v>
          </cell>
        </row>
        <row r="87">
          <cell r="W87" t="str">
            <v>EMA0020200</v>
          </cell>
          <cell r="X87" t="str">
            <v>南下照明管線埋設</v>
          </cell>
          <cell r="Y87">
            <v>38289</v>
          </cell>
          <cell r="Z87">
            <v>38298</v>
          </cell>
        </row>
        <row r="88">
          <cell r="W88" t="str">
            <v>EMA0010200</v>
          </cell>
          <cell r="X88" t="str">
            <v>南下電話與交管管線埋</v>
          </cell>
          <cell r="Y88">
            <v>38299</v>
          </cell>
          <cell r="Z88">
            <v>38308</v>
          </cell>
        </row>
        <row r="89">
          <cell r="W89" t="str">
            <v>EMA0020300</v>
          </cell>
          <cell r="X89" t="str">
            <v>南下燈桿及燈泡安裝</v>
          </cell>
          <cell r="Y89">
            <v>38299</v>
          </cell>
          <cell r="Z89">
            <v>38306</v>
          </cell>
        </row>
        <row r="90">
          <cell r="W90" t="str">
            <v>EMB0010100</v>
          </cell>
          <cell r="X90" t="str">
            <v>北上電話與交管用人孔</v>
          </cell>
          <cell r="Y90">
            <v>38343</v>
          </cell>
          <cell r="Z90">
            <v>38362</v>
          </cell>
        </row>
        <row r="91">
          <cell r="W91" t="str">
            <v>EMB0020100</v>
          </cell>
          <cell r="X91" t="str">
            <v>北上照明基座及手孔施</v>
          </cell>
          <cell r="Y91">
            <v>38343</v>
          </cell>
          <cell r="Z91">
            <v>38352</v>
          </cell>
        </row>
        <row r="92">
          <cell r="W92" t="str">
            <v>EMB0020200</v>
          </cell>
          <cell r="X92" t="str">
            <v>北上照明管線埋設</v>
          </cell>
          <cell r="Y92">
            <v>38353</v>
          </cell>
          <cell r="Z92">
            <v>38362</v>
          </cell>
        </row>
        <row r="93">
          <cell r="W93" t="str">
            <v>EMB0010200</v>
          </cell>
          <cell r="X93" t="str">
            <v>北上電話與交管管線埋</v>
          </cell>
          <cell r="Y93">
            <v>38363</v>
          </cell>
          <cell r="Z93">
            <v>38372</v>
          </cell>
        </row>
        <row r="94">
          <cell r="W94" t="str">
            <v>EMB0020300</v>
          </cell>
          <cell r="X94" t="str">
            <v>北上燈桿及燈泡安裝</v>
          </cell>
          <cell r="Y94">
            <v>38363</v>
          </cell>
          <cell r="Z94">
            <v>38370</v>
          </cell>
        </row>
        <row r="95">
          <cell r="W95" t="str">
            <v>MS00030000</v>
          </cell>
          <cell r="X95" t="str">
            <v>北上矮型圍籬施作 280</v>
          </cell>
          <cell r="Y95">
            <v>38372</v>
          </cell>
          <cell r="Z95">
            <v>38395</v>
          </cell>
        </row>
        <row r="96">
          <cell r="W96" t="str">
            <v>MS00030010</v>
          </cell>
          <cell r="X96" t="str">
            <v>南下矮型圍籬施作 280</v>
          </cell>
          <cell r="Y96">
            <v>38396</v>
          </cell>
          <cell r="Z96">
            <v>38425</v>
          </cell>
        </row>
        <row r="97">
          <cell r="W97" t="str">
            <v>MS00040000</v>
          </cell>
          <cell r="X97" t="str">
            <v>現場清理</v>
          </cell>
          <cell r="Y97">
            <v>38447</v>
          </cell>
          <cell r="Z97">
            <v>38453</v>
          </cell>
        </row>
        <row r="98">
          <cell r="W98" t="str">
            <v>MS00050000</v>
          </cell>
          <cell r="X98" t="str">
            <v>峻工文件及圖製作</v>
          </cell>
          <cell r="Y98">
            <v>38454</v>
          </cell>
          <cell r="Z98">
            <v>38454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各工地比較表"/>
      <sheetName val="工地簡介"/>
      <sheetName val="成本單項比例"/>
      <sheetName val="擋土"/>
      <sheetName val="單價分析"/>
      <sheetName val="工料單價"/>
      <sheetName val="預算書"/>
      <sheetName val="石材"/>
      <sheetName val="水電成本"/>
      <sheetName val="連續壁"/>
      <sheetName val="鋼筋及模板"/>
      <sheetName val="門單價"/>
      <sheetName val="門總價"/>
      <sheetName val="假設工程"/>
      <sheetName val="天花板"/>
      <sheetName val="鐵捲門"/>
      <sheetName val="五金"/>
      <sheetName val="排水工程"/>
      <sheetName val="窗戶總價"/>
      <sheetName val="窗戶單價"/>
      <sheetName val="鋁門窗&amp;其他"/>
      <sheetName val="捲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路口詳圖"/>
      <sheetName val="路口 (變更)"/>
      <sheetName val="路口(追加)"/>
      <sheetName val="MonthA(1-4)"/>
      <sheetName val="MonthB(1-4)"/>
      <sheetName val="Jan"/>
      <sheetName val="Feb"/>
      <sheetName val="Mar"/>
      <sheetName val="Apr"/>
      <sheetName val="May"/>
      <sheetName val="Jnu"/>
      <sheetName val="July"/>
      <sheetName val="Aug"/>
      <sheetName val="Sep"/>
      <sheetName val="Oct"/>
      <sheetName val="Nov"/>
      <sheetName val="半月報A"/>
      <sheetName val="半月報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電信"/>
      <sheetName val="預算"/>
      <sheetName val="單價1"/>
      <sheetName val="單價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薪資BAK"/>
      <sheetName val="勞健保BAK"/>
      <sheetName val="廚工及翻譯"/>
      <sheetName val="薪資DEMO (2)"/>
      <sheetName val="薪資DEMO (3)"/>
      <sheetName val="測量"/>
      <sheetName val="路工"/>
      <sheetName val="橋工"/>
      <sheetName val="安衛"/>
      <sheetName val="排水"/>
      <sheetName val="Demo"/>
      <sheetName val="薪資DEMO"/>
      <sheetName val="勞保DEMO"/>
      <sheetName val="健保DEMO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I6">
            <v>29305</v>
          </cell>
          <cell r="J6">
            <v>26113</v>
          </cell>
          <cell r="K6">
            <v>182</v>
          </cell>
          <cell r="L6">
            <v>210</v>
          </cell>
          <cell r="M6">
            <v>1800</v>
          </cell>
          <cell r="N6">
            <v>0</v>
          </cell>
          <cell r="O6">
            <v>0</v>
          </cell>
          <cell r="P6">
            <v>28305</v>
          </cell>
          <cell r="Q6">
            <v>1000</v>
          </cell>
        </row>
        <row r="7">
          <cell r="I7">
            <v>29100</v>
          </cell>
          <cell r="J7">
            <v>18908</v>
          </cell>
          <cell r="K7">
            <v>182</v>
          </cell>
          <cell r="L7">
            <v>210</v>
          </cell>
          <cell r="M7">
            <v>1800</v>
          </cell>
          <cell r="N7">
            <v>0</v>
          </cell>
          <cell r="O7">
            <v>0</v>
          </cell>
          <cell r="P7">
            <v>21100</v>
          </cell>
          <cell r="Q7">
            <v>8000</v>
          </cell>
        </row>
        <row r="8">
          <cell r="I8">
            <v>27482</v>
          </cell>
          <cell r="J8">
            <v>14290</v>
          </cell>
          <cell r="K8">
            <v>182</v>
          </cell>
          <cell r="L8">
            <v>210</v>
          </cell>
          <cell r="M8">
            <v>1800</v>
          </cell>
          <cell r="N8">
            <v>0</v>
          </cell>
          <cell r="O8">
            <v>0</v>
          </cell>
          <cell r="P8">
            <v>16482</v>
          </cell>
          <cell r="Q8">
            <v>11000</v>
          </cell>
        </row>
        <row r="9">
          <cell r="I9">
            <v>30852</v>
          </cell>
          <cell r="J9">
            <v>27139</v>
          </cell>
          <cell r="K9">
            <v>191</v>
          </cell>
          <cell r="L9">
            <v>222</v>
          </cell>
          <cell r="M9">
            <v>1800</v>
          </cell>
          <cell r="N9">
            <v>0</v>
          </cell>
          <cell r="O9">
            <v>0</v>
          </cell>
          <cell r="P9">
            <v>29352</v>
          </cell>
          <cell r="Q9">
            <v>1500</v>
          </cell>
        </row>
        <row r="10">
          <cell r="I10">
            <v>29889</v>
          </cell>
          <cell r="J10">
            <v>22697</v>
          </cell>
          <cell r="K10">
            <v>182</v>
          </cell>
          <cell r="L10">
            <v>210</v>
          </cell>
          <cell r="M10">
            <v>1800</v>
          </cell>
          <cell r="N10">
            <v>0</v>
          </cell>
          <cell r="O10">
            <v>0</v>
          </cell>
          <cell r="P10">
            <v>24889</v>
          </cell>
          <cell r="Q10">
            <v>5000</v>
          </cell>
        </row>
        <row r="11">
          <cell r="I11">
            <v>29534</v>
          </cell>
          <cell r="J11">
            <v>22321</v>
          </cell>
          <cell r="K11">
            <v>191</v>
          </cell>
          <cell r="L11">
            <v>222</v>
          </cell>
          <cell r="M11">
            <v>1800</v>
          </cell>
          <cell r="N11">
            <v>0</v>
          </cell>
          <cell r="O11">
            <v>0</v>
          </cell>
          <cell r="P11">
            <v>24534</v>
          </cell>
          <cell r="Q11">
            <v>5000</v>
          </cell>
        </row>
        <row r="12">
          <cell r="I12">
            <v>30367</v>
          </cell>
          <cell r="J12">
            <v>18175</v>
          </cell>
          <cell r="K12">
            <v>182</v>
          </cell>
          <cell r="L12">
            <v>210</v>
          </cell>
          <cell r="M12">
            <v>1800</v>
          </cell>
          <cell r="N12">
            <v>0</v>
          </cell>
          <cell r="O12">
            <v>0</v>
          </cell>
          <cell r="P12">
            <v>20367</v>
          </cell>
          <cell r="Q12">
            <v>10000</v>
          </cell>
        </row>
        <row r="13">
          <cell r="I13">
            <v>27448</v>
          </cell>
          <cell r="J13">
            <v>17256</v>
          </cell>
          <cell r="K13">
            <v>182</v>
          </cell>
          <cell r="L13">
            <v>210</v>
          </cell>
          <cell r="M13">
            <v>1800</v>
          </cell>
          <cell r="N13">
            <v>0</v>
          </cell>
          <cell r="O13">
            <v>0</v>
          </cell>
          <cell r="P13">
            <v>19448</v>
          </cell>
          <cell r="Q13">
            <v>8000</v>
          </cell>
        </row>
        <row r="14">
          <cell r="I14">
            <v>30204</v>
          </cell>
          <cell r="J14">
            <v>23462</v>
          </cell>
          <cell r="K14">
            <v>182</v>
          </cell>
          <cell r="L14">
            <v>210</v>
          </cell>
          <cell r="M14">
            <v>1800</v>
          </cell>
          <cell r="N14">
            <v>0</v>
          </cell>
          <cell r="O14">
            <v>0</v>
          </cell>
          <cell r="P14">
            <v>25654</v>
          </cell>
          <cell r="Q14">
            <v>4550</v>
          </cell>
        </row>
        <row r="15">
          <cell r="I15">
            <v>30679</v>
          </cell>
          <cell r="J15">
            <v>25487</v>
          </cell>
          <cell r="K15">
            <v>182</v>
          </cell>
          <cell r="L15">
            <v>210</v>
          </cell>
          <cell r="M15">
            <v>1800</v>
          </cell>
          <cell r="N15">
            <v>0</v>
          </cell>
          <cell r="O15">
            <v>0</v>
          </cell>
          <cell r="P15">
            <v>27679</v>
          </cell>
          <cell r="Q15">
            <v>3000</v>
          </cell>
        </row>
        <row r="16">
          <cell r="I16">
            <v>33959</v>
          </cell>
          <cell r="J16">
            <v>28767</v>
          </cell>
          <cell r="K16">
            <v>182</v>
          </cell>
          <cell r="L16">
            <v>210</v>
          </cell>
          <cell r="M16">
            <v>1800</v>
          </cell>
          <cell r="N16">
            <v>0</v>
          </cell>
          <cell r="O16">
            <v>0</v>
          </cell>
          <cell r="P16">
            <v>30959</v>
          </cell>
          <cell r="Q16">
            <v>3000</v>
          </cell>
        </row>
        <row r="17">
          <cell r="I17">
            <v>31489</v>
          </cell>
          <cell r="J17">
            <v>26297</v>
          </cell>
          <cell r="K17">
            <v>182</v>
          </cell>
          <cell r="L17">
            <v>210</v>
          </cell>
          <cell r="M17">
            <v>1800</v>
          </cell>
          <cell r="N17">
            <v>0</v>
          </cell>
          <cell r="O17">
            <v>0</v>
          </cell>
          <cell r="P17">
            <v>28489</v>
          </cell>
          <cell r="Q17">
            <v>3000</v>
          </cell>
        </row>
        <row r="18">
          <cell r="I18">
            <v>32432</v>
          </cell>
          <cell r="J18">
            <v>27740</v>
          </cell>
          <cell r="K18">
            <v>182</v>
          </cell>
          <cell r="L18">
            <v>210</v>
          </cell>
          <cell r="M18">
            <v>1800</v>
          </cell>
          <cell r="N18">
            <v>0</v>
          </cell>
          <cell r="O18">
            <v>0</v>
          </cell>
          <cell r="P18">
            <v>29932</v>
          </cell>
          <cell r="Q18">
            <v>2500</v>
          </cell>
        </row>
        <row r="19">
          <cell r="I19">
            <v>27299</v>
          </cell>
          <cell r="J19">
            <v>18107</v>
          </cell>
          <cell r="K19">
            <v>182</v>
          </cell>
          <cell r="L19">
            <v>210</v>
          </cell>
          <cell r="M19">
            <v>1800</v>
          </cell>
          <cell r="N19">
            <v>0</v>
          </cell>
          <cell r="O19">
            <v>0</v>
          </cell>
          <cell r="P19">
            <v>20299</v>
          </cell>
          <cell r="Q19">
            <v>7000</v>
          </cell>
        </row>
        <row r="22">
          <cell r="I22">
            <v>28358</v>
          </cell>
          <cell r="J22">
            <v>18666</v>
          </cell>
          <cell r="K22">
            <v>182</v>
          </cell>
          <cell r="L22">
            <v>210</v>
          </cell>
          <cell r="M22">
            <v>1800</v>
          </cell>
          <cell r="N22">
            <v>0</v>
          </cell>
          <cell r="O22">
            <v>3000</v>
          </cell>
          <cell r="P22">
            <v>23858</v>
          </cell>
          <cell r="Q22">
            <v>4500</v>
          </cell>
        </row>
        <row r="23">
          <cell r="I23">
            <v>32213</v>
          </cell>
          <cell r="J23">
            <v>26021</v>
          </cell>
          <cell r="K23">
            <v>182</v>
          </cell>
          <cell r="L23">
            <v>210</v>
          </cell>
          <cell r="M23">
            <v>1800</v>
          </cell>
          <cell r="N23">
            <v>0</v>
          </cell>
          <cell r="O23">
            <v>3000</v>
          </cell>
          <cell r="P23">
            <v>31213</v>
          </cell>
          <cell r="Q23">
            <v>1000</v>
          </cell>
        </row>
        <row r="24">
          <cell r="I24">
            <v>26716</v>
          </cell>
          <cell r="J24">
            <v>14584</v>
          </cell>
          <cell r="K24">
            <v>182</v>
          </cell>
          <cell r="L24">
            <v>210</v>
          </cell>
          <cell r="M24">
            <v>1740</v>
          </cell>
          <cell r="N24">
            <v>0</v>
          </cell>
          <cell r="O24">
            <v>3000</v>
          </cell>
          <cell r="P24">
            <v>19716</v>
          </cell>
          <cell r="Q24">
            <v>7000</v>
          </cell>
        </row>
        <row r="25">
          <cell r="I25">
            <v>31489</v>
          </cell>
          <cell r="J25">
            <v>24297</v>
          </cell>
          <cell r="K25">
            <v>182</v>
          </cell>
          <cell r="L25">
            <v>210</v>
          </cell>
          <cell r="M25">
            <v>1800</v>
          </cell>
          <cell r="N25">
            <v>0</v>
          </cell>
          <cell r="O25">
            <v>3000</v>
          </cell>
          <cell r="P25">
            <v>29489</v>
          </cell>
          <cell r="Q25">
            <v>2000</v>
          </cell>
        </row>
        <row r="26">
          <cell r="I26">
            <v>29641</v>
          </cell>
          <cell r="J26">
            <v>24449</v>
          </cell>
          <cell r="K26">
            <v>182</v>
          </cell>
          <cell r="L26">
            <v>210</v>
          </cell>
          <cell r="M26">
            <v>1800</v>
          </cell>
          <cell r="N26">
            <v>0</v>
          </cell>
          <cell r="O26">
            <v>0</v>
          </cell>
          <cell r="P26">
            <v>26641</v>
          </cell>
          <cell r="Q26">
            <v>3000</v>
          </cell>
        </row>
        <row r="27">
          <cell r="I27">
            <v>28905</v>
          </cell>
          <cell r="J27">
            <v>21213</v>
          </cell>
          <cell r="K27">
            <v>182</v>
          </cell>
          <cell r="L27">
            <v>210</v>
          </cell>
          <cell r="M27">
            <v>1800</v>
          </cell>
          <cell r="N27">
            <v>0</v>
          </cell>
          <cell r="O27">
            <v>0</v>
          </cell>
          <cell r="P27">
            <v>23405</v>
          </cell>
          <cell r="Q27">
            <v>5500</v>
          </cell>
        </row>
        <row r="28">
          <cell r="I28">
            <v>25733</v>
          </cell>
          <cell r="J28">
            <v>18502</v>
          </cell>
          <cell r="K28">
            <v>221</v>
          </cell>
          <cell r="L28">
            <v>210</v>
          </cell>
          <cell r="M28">
            <v>1800</v>
          </cell>
          <cell r="N28">
            <v>0</v>
          </cell>
          <cell r="O28">
            <v>0</v>
          </cell>
          <cell r="P28">
            <v>20733</v>
          </cell>
          <cell r="Q28">
            <v>5000</v>
          </cell>
        </row>
        <row r="29">
          <cell r="I29">
            <v>28544</v>
          </cell>
          <cell r="J29">
            <v>21313</v>
          </cell>
          <cell r="K29">
            <v>221</v>
          </cell>
          <cell r="L29">
            <v>210</v>
          </cell>
          <cell r="M29">
            <v>1800</v>
          </cell>
          <cell r="N29">
            <v>0</v>
          </cell>
          <cell r="O29">
            <v>0</v>
          </cell>
          <cell r="P29">
            <v>23544</v>
          </cell>
          <cell r="Q29">
            <v>5000</v>
          </cell>
        </row>
        <row r="30">
          <cell r="I30">
            <v>7640</v>
          </cell>
          <cell r="J30">
            <v>0</v>
          </cell>
          <cell r="K30">
            <v>115</v>
          </cell>
          <cell r="L30">
            <v>210</v>
          </cell>
          <cell r="M30">
            <v>480</v>
          </cell>
          <cell r="N30">
            <v>0</v>
          </cell>
          <cell r="O30">
            <v>2000</v>
          </cell>
          <cell r="P30">
            <v>2805</v>
          </cell>
          <cell r="Q30">
            <v>4835</v>
          </cell>
        </row>
        <row r="31">
          <cell r="I31">
            <v>7640</v>
          </cell>
          <cell r="J31">
            <v>0</v>
          </cell>
          <cell r="K31">
            <v>115</v>
          </cell>
          <cell r="L31">
            <v>210</v>
          </cell>
          <cell r="M31">
            <v>480</v>
          </cell>
          <cell r="N31">
            <v>0</v>
          </cell>
          <cell r="O31">
            <v>2000</v>
          </cell>
          <cell r="P31">
            <v>2805</v>
          </cell>
          <cell r="Q31">
            <v>4835</v>
          </cell>
        </row>
        <row r="32">
          <cell r="I32">
            <v>31026</v>
          </cell>
          <cell r="J32">
            <v>25834</v>
          </cell>
          <cell r="K32">
            <v>182</v>
          </cell>
          <cell r="L32">
            <v>210</v>
          </cell>
          <cell r="M32">
            <v>1800</v>
          </cell>
          <cell r="N32">
            <v>0</v>
          </cell>
          <cell r="O32">
            <v>0</v>
          </cell>
          <cell r="P32">
            <v>28026</v>
          </cell>
          <cell r="Q32">
            <v>3000</v>
          </cell>
        </row>
        <row r="33">
          <cell r="I33">
            <v>22204</v>
          </cell>
          <cell r="J33">
            <v>15012</v>
          </cell>
          <cell r="K33">
            <v>182</v>
          </cell>
          <cell r="L33">
            <v>210</v>
          </cell>
          <cell r="M33">
            <v>1800</v>
          </cell>
          <cell r="N33">
            <v>0</v>
          </cell>
          <cell r="O33">
            <v>0</v>
          </cell>
          <cell r="P33">
            <v>17204</v>
          </cell>
          <cell r="Q33">
            <v>5000</v>
          </cell>
        </row>
        <row r="34">
          <cell r="I34">
            <v>26155</v>
          </cell>
          <cell r="J34">
            <v>19963</v>
          </cell>
          <cell r="K34">
            <v>182</v>
          </cell>
          <cell r="L34">
            <v>210</v>
          </cell>
          <cell r="M34">
            <v>1800</v>
          </cell>
          <cell r="N34">
            <v>0</v>
          </cell>
          <cell r="O34">
            <v>0</v>
          </cell>
          <cell r="P34">
            <v>22155</v>
          </cell>
          <cell r="Q34">
            <v>4000</v>
          </cell>
        </row>
        <row r="35">
          <cell r="I35">
            <v>29869</v>
          </cell>
          <cell r="J35">
            <v>22677</v>
          </cell>
          <cell r="K35">
            <v>182</v>
          </cell>
          <cell r="L35">
            <v>210</v>
          </cell>
          <cell r="M35">
            <v>1800</v>
          </cell>
          <cell r="N35">
            <v>0</v>
          </cell>
          <cell r="O35">
            <v>0</v>
          </cell>
          <cell r="P35">
            <v>24869</v>
          </cell>
          <cell r="Q35">
            <v>5000</v>
          </cell>
        </row>
        <row r="36">
          <cell r="I36">
            <v>25539</v>
          </cell>
          <cell r="J36">
            <v>16347</v>
          </cell>
          <cell r="K36">
            <v>182</v>
          </cell>
          <cell r="L36">
            <v>210</v>
          </cell>
          <cell r="M36">
            <v>1800</v>
          </cell>
          <cell r="N36">
            <v>0</v>
          </cell>
          <cell r="O36">
            <v>0</v>
          </cell>
          <cell r="P36">
            <v>18539</v>
          </cell>
          <cell r="Q36">
            <v>7000</v>
          </cell>
        </row>
        <row r="39">
          <cell r="I39">
            <v>39232</v>
          </cell>
          <cell r="J39">
            <v>34040</v>
          </cell>
          <cell r="K39">
            <v>182</v>
          </cell>
          <cell r="L39">
            <v>210</v>
          </cell>
          <cell r="M39">
            <v>1800</v>
          </cell>
          <cell r="N39">
            <v>0</v>
          </cell>
          <cell r="O39">
            <v>0</v>
          </cell>
          <cell r="P39">
            <v>36232</v>
          </cell>
          <cell r="Q39">
            <v>3000</v>
          </cell>
        </row>
        <row r="40">
          <cell r="I40">
            <v>39232</v>
          </cell>
          <cell r="J40">
            <v>34040</v>
          </cell>
          <cell r="K40">
            <v>182</v>
          </cell>
          <cell r="L40">
            <v>210</v>
          </cell>
          <cell r="M40">
            <v>1800</v>
          </cell>
          <cell r="N40">
            <v>0</v>
          </cell>
          <cell r="O40">
            <v>0</v>
          </cell>
          <cell r="P40">
            <v>36232</v>
          </cell>
          <cell r="Q40">
            <v>3000</v>
          </cell>
        </row>
        <row r="41">
          <cell r="I41">
            <v>30090</v>
          </cell>
          <cell r="J41">
            <v>22898</v>
          </cell>
          <cell r="K41">
            <v>182</v>
          </cell>
          <cell r="L41">
            <v>210</v>
          </cell>
          <cell r="M41">
            <v>1800</v>
          </cell>
          <cell r="N41">
            <v>0</v>
          </cell>
          <cell r="O41">
            <v>0</v>
          </cell>
          <cell r="P41">
            <v>25090</v>
          </cell>
          <cell r="Q41">
            <v>5000</v>
          </cell>
        </row>
        <row r="42">
          <cell r="I42">
            <v>22026</v>
          </cell>
          <cell r="J42">
            <v>9813</v>
          </cell>
          <cell r="K42">
            <v>191</v>
          </cell>
          <cell r="L42">
            <v>222</v>
          </cell>
          <cell r="M42">
            <v>1800</v>
          </cell>
          <cell r="N42">
            <v>0</v>
          </cell>
          <cell r="O42">
            <v>0</v>
          </cell>
          <cell r="P42">
            <v>12026</v>
          </cell>
          <cell r="Q42">
            <v>10000</v>
          </cell>
        </row>
        <row r="43">
          <cell r="I43">
            <v>26178</v>
          </cell>
          <cell r="J43">
            <v>16986</v>
          </cell>
          <cell r="K43">
            <v>182</v>
          </cell>
          <cell r="L43">
            <v>210</v>
          </cell>
          <cell r="M43">
            <v>1800</v>
          </cell>
          <cell r="N43">
            <v>0</v>
          </cell>
          <cell r="O43">
            <v>0</v>
          </cell>
          <cell r="P43">
            <v>19178</v>
          </cell>
          <cell r="Q43">
            <v>7000</v>
          </cell>
        </row>
        <row r="44">
          <cell r="I44">
            <v>23783</v>
          </cell>
          <cell r="J44">
            <v>15591</v>
          </cell>
          <cell r="K44">
            <v>182</v>
          </cell>
          <cell r="L44">
            <v>210</v>
          </cell>
          <cell r="M44">
            <v>1800</v>
          </cell>
          <cell r="N44">
            <v>0</v>
          </cell>
          <cell r="O44">
            <v>3000</v>
          </cell>
          <cell r="P44">
            <v>20783</v>
          </cell>
          <cell r="Q44">
            <v>3000</v>
          </cell>
        </row>
        <row r="45">
          <cell r="I45">
            <v>27277</v>
          </cell>
          <cell r="J45">
            <v>23064</v>
          </cell>
          <cell r="K45">
            <v>191</v>
          </cell>
          <cell r="L45">
            <v>222</v>
          </cell>
          <cell r="M45">
            <v>1800</v>
          </cell>
          <cell r="N45">
            <v>0</v>
          </cell>
          <cell r="O45">
            <v>0</v>
          </cell>
          <cell r="P45">
            <v>25277</v>
          </cell>
          <cell r="Q45">
            <v>2000</v>
          </cell>
        </row>
        <row r="46">
          <cell r="I46">
            <v>25806</v>
          </cell>
          <cell r="J46">
            <v>16593</v>
          </cell>
          <cell r="K46">
            <v>191</v>
          </cell>
          <cell r="L46">
            <v>222</v>
          </cell>
          <cell r="M46">
            <v>1800</v>
          </cell>
          <cell r="N46">
            <v>0</v>
          </cell>
          <cell r="O46">
            <v>0</v>
          </cell>
          <cell r="P46">
            <v>18806</v>
          </cell>
          <cell r="Q46">
            <v>7000</v>
          </cell>
        </row>
        <row r="47">
          <cell r="I47">
            <v>28198</v>
          </cell>
          <cell r="J47">
            <v>21985</v>
          </cell>
          <cell r="K47">
            <v>191</v>
          </cell>
          <cell r="L47">
            <v>222</v>
          </cell>
          <cell r="M47">
            <v>1800</v>
          </cell>
          <cell r="N47">
            <v>0</v>
          </cell>
          <cell r="O47">
            <v>0</v>
          </cell>
          <cell r="P47">
            <v>24198</v>
          </cell>
          <cell r="Q47">
            <v>4000</v>
          </cell>
        </row>
        <row r="48">
          <cell r="I48">
            <v>27277</v>
          </cell>
          <cell r="J48">
            <v>20064</v>
          </cell>
          <cell r="K48">
            <v>191</v>
          </cell>
          <cell r="L48">
            <v>222</v>
          </cell>
          <cell r="M48">
            <v>1800</v>
          </cell>
          <cell r="N48">
            <v>0</v>
          </cell>
          <cell r="O48">
            <v>0</v>
          </cell>
          <cell r="P48">
            <v>22277</v>
          </cell>
          <cell r="Q48">
            <v>5000</v>
          </cell>
        </row>
        <row r="49">
          <cell r="I49">
            <v>23128</v>
          </cell>
          <cell r="J49">
            <v>17395</v>
          </cell>
          <cell r="K49">
            <v>191</v>
          </cell>
          <cell r="L49">
            <v>222</v>
          </cell>
          <cell r="M49">
            <v>1320</v>
          </cell>
          <cell r="N49">
            <v>0</v>
          </cell>
          <cell r="O49">
            <v>0</v>
          </cell>
          <cell r="P49">
            <v>19128</v>
          </cell>
          <cell r="Q49">
            <v>4000</v>
          </cell>
        </row>
        <row r="50">
          <cell r="I50">
            <v>30735</v>
          </cell>
          <cell r="J50">
            <v>21522</v>
          </cell>
          <cell r="K50">
            <v>191</v>
          </cell>
          <cell r="L50">
            <v>222</v>
          </cell>
          <cell r="M50">
            <v>1800</v>
          </cell>
          <cell r="N50">
            <v>0</v>
          </cell>
          <cell r="O50">
            <v>0</v>
          </cell>
          <cell r="P50">
            <v>23735</v>
          </cell>
          <cell r="Q50">
            <v>7000</v>
          </cell>
        </row>
        <row r="51">
          <cell r="I51">
            <v>39076</v>
          </cell>
          <cell r="J51">
            <v>33884</v>
          </cell>
          <cell r="K51">
            <v>182</v>
          </cell>
          <cell r="L51">
            <v>210</v>
          </cell>
          <cell r="M51">
            <v>1800</v>
          </cell>
          <cell r="N51">
            <v>0</v>
          </cell>
          <cell r="O51">
            <v>0</v>
          </cell>
          <cell r="P51">
            <v>36076</v>
          </cell>
          <cell r="Q51">
            <v>3000</v>
          </cell>
        </row>
        <row r="52">
          <cell r="I52">
            <v>21857</v>
          </cell>
          <cell r="J52">
            <v>16665</v>
          </cell>
          <cell r="K52">
            <v>182</v>
          </cell>
          <cell r="L52">
            <v>210</v>
          </cell>
          <cell r="M52">
            <v>1800</v>
          </cell>
          <cell r="N52">
            <v>0</v>
          </cell>
          <cell r="O52">
            <v>0</v>
          </cell>
          <cell r="P52">
            <v>18857</v>
          </cell>
          <cell r="Q52">
            <v>3000</v>
          </cell>
        </row>
        <row r="53">
          <cell r="I53">
            <v>27118</v>
          </cell>
          <cell r="J53">
            <v>10166</v>
          </cell>
          <cell r="K53">
            <v>182</v>
          </cell>
          <cell r="L53">
            <v>210</v>
          </cell>
          <cell r="M53">
            <v>1560</v>
          </cell>
          <cell r="N53">
            <v>0</v>
          </cell>
          <cell r="O53">
            <v>0</v>
          </cell>
          <cell r="P53">
            <v>12118</v>
          </cell>
          <cell r="Q53">
            <v>15000</v>
          </cell>
        </row>
        <row r="56">
          <cell r="I56">
            <v>27707</v>
          </cell>
          <cell r="J56">
            <v>21515</v>
          </cell>
          <cell r="K56">
            <v>182</v>
          </cell>
          <cell r="L56">
            <v>210</v>
          </cell>
          <cell r="M56">
            <v>1800</v>
          </cell>
          <cell r="N56">
            <v>0</v>
          </cell>
          <cell r="O56">
            <v>0</v>
          </cell>
          <cell r="P56">
            <v>23707</v>
          </cell>
          <cell r="Q56">
            <v>4000</v>
          </cell>
        </row>
        <row r="57">
          <cell r="I57">
            <v>32693</v>
          </cell>
          <cell r="J57">
            <v>26501</v>
          </cell>
          <cell r="K57">
            <v>182</v>
          </cell>
          <cell r="L57">
            <v>210</v>
          </cell>
          <cell r="M57">
            <v>1800</v>
          </cell>
          <cell r="N57">
            <v>0</v>
          </cell>
          <cell r="O57">
            <v>0</v>
          </cell>
          <cell r="P57">
            <v>28693</v>
          </cell>
          <cell r="Q57">
            <v>4000</v>
          </cell>
        </row>
        <row r="58">
          <cell r="I58">
            <v>23210</v>
          </cell>
          <cell r="J58">
            <v>15568</v>
          </cell>
          <cell r="K58">
            <v>182</v>
          </cell>
          <cell r="L58">
            <v>210</v>
          </cell>
          <cell r="M58">
            <v>1800</v>
          </cell>
          <cell r="N58">
            <v>0</v>
          </cell>
          <cell r="O58">
            <v>0</v>
          </cell>
          <cell r="P58">
            <v>17760</v>
          </cell>
          <cell r="Q58">
            <v>5450</v>
          </cell>
        </row>
        <row r="59">
          <cell r="I59">
            <v>34124</v>
          </cell>
          <cell r="J59">
            <v>26432</v>
          </cell>
          <cell r="K59">
            <v>182</v>
          </cell>
          <cell r="L59">
            <v>210</v>
          </cell>
          <cell r="M59">
            <v>1800</v>
          </cell>
          <cell r="N59">
            <v>0</v>
          </cell>
          <cell r="O59">
            <v>0</v>
          </cell>
          <cell r="P59">
            <v>28624</v>
          </cell>
          <cell r="Q59">
            <v>5500</v>
          </cell>
        </row>
        <row r="60">
          <cell r="I60">
            <v>29894</v>
          </cell>
          <cell r="J60">
            <v>24702</v>
          </cell>
          <cell r="K60">
            <v>182</v>
          </cell>
          <cell r="L60">
            <v>210</v>
          </cell>
          <cell r="M60">
            <v>1800</v>
          </cell>
          <cell r="N60">
            <v>0</v>
          </cell>
          <cell r="O60">
            <v>0</v>
          </cell>
          <cell r="P60">
            <v>26894</v>
          </cell>
          <cell r="Q60">
            <v>3000</v>
          </cell>
        </row>
        <row r="61">
          <cell r="I61">
            <v>32646</v>
          </cell>
          <cell r="J61">
            <v>25454</v>
          </cell>
          <cell r="K61">
            <v>182</v>
          </cell>
          <cell r="L61">
            <v>210</v>
          </cell>
          <cell r="M61">
            <v>1800</v>
          </cell>
          <cell r="N61">
            <v>0</v>
          </cell>
          <cell r="O61">
            <v>0</v>
          </cell>
          <cell r="P61">
            <v>27646</v>
          </cell>
          <cell r="Q61">
            <v>5000</v>
          </cell>
        </row>
        <row r="62">
          <cell r="I62">
            <v>25539</v>
          </cell>
          <cell r="J62">
            <v>20347</v>
          </cell>
          <cell r="K62">
            <v>182</v>
          </cell>
          <cell r="L62">
            <v>210</v>
          </cell>
          <cell r="M62">
            <v>1800</v>
          </cell>
          <cell r="N62">
            <v>0</v>
          </cell>
          <cell r="O62">
            <v>0</v>
          </cell>
          <cell r="P62">
            <v>22539</v>
          </cell>
          <cell r="Q62">
            <v>3000</v>
          </cell>
        </row>
        <row r="63">
          <cell r="I63">
            <v>35395</v>
          </cell>
          <cell r="J63">
            <v>28203</v>
          </cell>
          <cell r="K63">
            <v>182</v>
          </cell>
          <cell r="L63">
            <v>210</v>
          </cell>
          <cell r="M63">
            <v>1800</v>
          </cell>
          <cell r="N63">
            <v>0</v>
          </cell>
          <cell r="O63">
            <v>0</v>
          </cell>
          <cell r="P63">
            <v>30395</v>
          </cell>
          <cell r="Q63">
            <v>5000</v>
          </cell>
        </row>
        <row r="64">
          <cell r="I64">
            <v>34124</v>
          </cell>
          <cell r="J64">
            <v>30432</v>
          </cell>
          <cell r="K64">
            <v>182</v>
          </cell>
          <cell r="L64">
            <v>210</v>
          </cell>
          <cell r="M64">
            <v>1800</v>
          </cell>
          <cell r="N64">
            <v>0</v>
          </cell>
          <cell r="O64">
            <v>0</v>
          </cell>
          <cell r="P64">
            <v>32624</v>
          </cell>
          <cell r="Q64">
            <v>1500</v>
          </cell>
        </row>
        <row r="65">
          <cell r="I65">
            <v>27644</v>
          </cell>
          <cell r="J65">
            <v>24452</v>
          </cell>
          <cell r="K65">
            <v>182</v>
          </cell>
          <cell r="L65">
            <v>210</v>
          </cell>
          <cell r="M65">
            <v>1800</v>
          </cell>
          <cell r="N65">
            <v>0</v>
          </cell>
          <cell r="O65">
            <v>0</v>
          </cell>
          <cell r="P65">
            <v>26644</v>
          </cell>
          <cell r="Q65">
            <v>1000</v>
          </cell>
        </row>
        <row r="66">
          <cell r="I66">
            <v>28027</v>
          </cell>
          <cell r="J66">
            <v>22835</v>
          </cell>
          <cell r="K66">
            <v>182</v>
          </cell>
          <cell r="L66">
            <v>210</v>
          </cell>
          <cell r="M66">
            <v>1800</v>
          </cell>
          <cell r="N66">
            <v>0</v>
          </cell>
          <cell r="O66">
            <v>0</v>
          </cell>
          <cell r="P66">
            <v>25027</v>
          </cell>
          <cell r="Q66">
            <v>3000</v>
          </cell>
        </row>
        <row r="67">
          <cell r="I67">
            <v>25977</v>
          </cell>
          <cell r="J67">
            <v>19785</v>
          </cell>
          <cell r="K67">
            <v>182</v>
          </cell>
          <cell r="L67">
            <v>210</v>
          </cell>
          <cell r="M67">
            <v>1800</v>
          </cell>
          <cell r="N67">
            <v>0</v>
          </cell>
          <cell r="O67">
            <v>0</v>
          </cell>
          <cell r="P67">
            <v>21977</v>
          </cell>
          <cell r="Q67">
            <v>4000</v>
          </cell>
        </row>
        <row r="68">
          <cell r="I68">
            <v>33179</v>
          </cell>
          <cell r="J68">
            <v>27987</v>
          </cell>
          <cell r="K68">
            <v>182</v>
          </cell>
          <cell r="L68">
            <v>210</v>
          </cell>
          <cell r="M68">
            <v>1800</v>
          </cell>
          <cell r="N68">
            <v>0</v>
          </cell>
          <cell r="O68">
            <v>0</v>
          </cell>
          <cell r="P68">
            <v>30179</v>
          </cell>
          <cell r="Q68">
            <v>3000</v>
          </cell>
        </row>
        <row r="69">
          <cell r="I69">
            <v>39033</v>
          </cell>
          <cell r="J69">
            <v>33841</v>
          </cell>
          <cell r="K69">
            <v>182</v>
          </cell>
          <cell r="L69">
            <v>210</v>
          </cell>
          <cell r="M69">
            <v>1800</v>
          </cell>
          <cell r="N69">
            <v>0</v>
          </cell>
          <cell r="O69">
            <v>0</v>
          </cell>
          <cell r="P69">
            <v>36033</v>
          </cell>
          <cell r="Q69">
            <v>3000</v>
          </cell>
        </row>
        <row r="70">
          <cell r="I70">
            <v>27994</v>
          </cell>
          <cell r="J70">
            <v>23802</v>
          </cell>
          <cell r="K70">
            <v>182</v>
          </cell>
          <cell r="L70">
            <v>210</v>
          </cell>
          <cell r="M70">
            <v>1800</v>
          </cell>
          <cell r="N70">
            <v>0</v>
          </cell>
          <cell r="O70">
            <v>0</v>
          </cell>
          <cell r="P70">
            <v>25994</v>
          </cell>
          <cell r="Q70">
            <v>2000</v>
          </cell>
        </row>
        <row r="73">
          <cell r="I73">
            <v>25779</v>
          </cell>
          <cell r="J73">
            <v>16587</v>
          </cell>
          <cell r="K73">
            <v>182</v>
          </cell>
          <cell r="L73">
            <v>210</v>
          </cell>
          <cell r="M73">
            <v>1800</v>
          </cell>
          <cell r="N73">
            <v>0</v>
          </cell>
          <cell r="O73">
            <v>0</v>
          </cell>
          <cell r="P73">
            <v>18779</v>
          </cell>
          <cell r="Q73">
            <v>7000</v>
          </cell>
        </row>
        <row r="74">
          <cell r="I74">
            <v>19355</v>
          </cell>
          <cell r="J74">
            <v>13813</v>
          </cell>
          <cell r="K74">
            <v>182</v>
          </cell>
          <cell r="L74">
            <v>210</v>
          </cell>
          <cell r="M74">
            <v>1200</v>
          </cell>
          <cell r="N74">
            <v>0</v>
          </cell>
          <cell r="O74">
            <v>0</v>
          </cell>
          <cell r="P74">
            <v>15405</v>
          </cell>
          <cell r="Q74">
            <v>3950</v>
          </cell>
        </row>
        <row r="75">
          <cell r="I75">
            <v>20148</v>
          </cell>
          <cell r="J75">
            <v>13035</v>
          </cell>
          <cell r="K75">
            <v>191</v>
          </cell>
          <cell r="L75">
            <v>222</v>
          </cell>
          <cell r="M75">
            <v>1200</v>
          </cell>
          <cell r="N75">
            <v>0</v>
          </cell>
          <cell r="O75">
            <v>0</v>
          </cell>
          <cell r="P75">
            <v>14648</v>
          </cell>
          <cell r="Q75">
            <v>5500</v>
          </cell>
        </row>
        <row r="76">
          <cell r="I76">
            <v>29427</v>
          </cell>
          <cell r="J76">
            <v>21235</v>
          </cell>
          <cell r="K76">
            <v>182</v>
          </cell>
          <cell r="L76">
            <v>210</v>
          </cell>
          <cell r="M76">
            <v>1800</v>
          </cell>
          <cell r="N76">
            <v>0</v>
          </cell>
          <cell r="O76">
            <v>0</v>
          </cell>
          <cell r="P76">
            <v>23427</v>
          </cell>
          <cell r="Q76">
            <v>6000</v>
          </cell>
        </row>
        <row r="77">
          <cell r="I77">
            <v>39232</v>
          </cell>
          <cell r="J77">
            <v>35540</v>
          </cell>
          <cell r="K77">
            <v>182</v>
          </cell>
          <cell r="L77">
            <v>210</v>
          </cell>
          <cell r="M77">
            <v>1800</v>
          </cell>
          <cell r="N77">
            <v>0</v>
          </cell>
          <cell r="O77">
            <v>0</v>
          </cell>
          <cell r="P77">
            <v>37732</v>
          </cell>
          <cell r="Q77">
            <v>1500</v>
          </cell>
        </row>
        <row r="78">
          <cell r="I78">
            <v>39232</v>
          </cell>
          <cell r="J78">
            <v>33540</v>
          </cell>
          <cell r="K78">
            <v>182</v>
          </cell>
          <cell r="L78">
            <v>210</v>
          </cell>
          <cell r="M78">
            <v>1800</v>
          </cell>
          <cell r="N78">
            <v>0</v>
          </cell>
          <cell r="O78">
            <v>0</v>
          </cell>
          <cell r="P78">
            <v>35732</v>
          </cell>
          <cell r="Q78">
            <v>3500</v>
          </cell>
        </row>
        <row r="79">
          <cell r="I79">
            <v>34385</v>
          </cell>
          <cell r="J79">
            <v>30693</v>
          </cell>
          <cell r="K79">
            <v>182</v>
          </cell>
          <cell r="L79">
            <v>210</v>
          </cell>
          <cell r="M79">
            <v>1800</v>
          </cell>
          <cell r="N79">
            <v>0</v>
          </cell>
          <cell r="O79">
            <v>0</v>
          </cell>
          <cell r="P79">
            <v>32885</v>
          </cell>
          <cell r="Q79">
            <v>1500</v>
          </cell>
        </row>
        <row r="80">
          <cell r="I80">
            <v>28263</v>
          </cell>
          <cell r="J80">
            <v>21071</v>
          </cell>
          <cell r="K80">
            <v>182</v>
          </cell>
          <cell r="L80">
            <v>210</v>
          </cell>
          <cell r="M80">
            <v>1800</v>
          </cell>
          <cell r="N80">
            <v>0</v>
          </cell>
          <cell r="O80">
            <v>0</v>
          </cell>
          <cell r="P80">
            <v>23263</v>
          </cell>
          <cell r="Q80">
            <v>5000</v>
          </cell>
        </row>
        <row r="81">
          <cell r="I81">
            <v>29916</v>
          </cell>
          <cell r="J81">
            <v>22724</v>
          </cell>
          <cell r="K81">
            <v>182</v>
          </cell>
          <cell r="L81">
            <v>210</v>
          </cell>
          <cell r="M81">
            <v>1800</v>
          </cell>
          <cell r="N81">
            <v>0</v>
          </cell>
          <cell r="O81">
            <v>0</v>
          </cell>
          <cell r="P81">
            <v>24916</v>
          </cell>
          <cell r="Q81">
            <v>5000</v>
          </cell>
        </row>
        <row r="82">
          <cell r="I82">
            <v>28827</v>
          </cell>
          <cell r="J82">
            <v>24135</v>
          </cell>
          <cell r="K82">
            <v>182</v>
          </cell>
          <cell r="L82">
            <v>210</v>
          </cell>
          <cell r="M82">
            <v>1800</v>
          </cell>
          <cell r="N82">
            <v>0</v>
          </cell>
          <cell r="O82">
            <v>0</v>
          </cell>
          <cell r="P82">
            <v>26327</v>
          </cell>
          <cell r="Q82">
            <v>2500</v>
          </cell>
        </row>
        <row r="83">
          <cell r="I83">
            <v>34385</v>
          </cell>
          <cell r="J83">
            <v>25693</v>
          </cell>
          <cell r="K83">
            <v>182</v>
          </cell>
          <cell r="L83">
            <v>210</v>
          </cell>
          <cell r="M83">
            <v>1800</v>
          </cell>
          <cell r="N83">
            <v>0</v>
          </cell>
          <cell r="O83">
            <v>0</v>
          </cell>
          <cell r="P83">
            <v>27885</v>
          </cell>
          <cell r="Q83">
            <v>6500</v>
          </cell>
        </row>
        <row r="84">
          <cell r="I84">
            <v>26551</v>
          </cell>
          <cell r="J84">
            <v>19419</v>
          </cell>
          <cell r="K84">
            <v>182</v>
          </cell>
          <cell r="L84">
            <v>210</v>
          </cell>
          <cell r="M84">
            <v>1740</v>
          </cell>
          <cell r="N84">
            <v>0</v>
          </cell>
          <cell r="O84">
            <v>0</v>
          </cell>
          <cell r="P84">
            <v>21551</v>
          </cell>
          <cell r="Q84">
            <v>5000</v>
          </cell>
        </row>
        <row r="85">
          <cell r="I85">
            <v>29052</v>
          </cell>
          <cell r="J85">
            <v>23860</v>
          </cell>
          <cell r="K85">
            <v>182</v>
          </cell>
          <cell r="L85">
            <v>210</v>
          </cell>
          <cell r="M85">
            <v>1800</v>
          </cell>
          <cell r="N85">
            <v>0</v>
          </cell>
          <cell r="O85">
            <v>0</v>
          </cell>
          <cell r="P85">
            <v>26052</v>
          </cell>
          <cell r="Q85">
            <v>3000</v>
          </cell>
        </row>
        <row r="86">
          <cell r="I86">
            <v>28862</v>
          </cell>
          <cell r="J86">
            <v>24670</v>
          </cell>
          <cell r="K86">
            <v>182</v>
          </cell>
          <cell r="L86">
            <v>210</v>
          </cell>
          <cell r="M86">
            <v>1800</v>
          </cell>
          <cell r="N86">
            <v>0</v>
          </cell>
          <cell r="O86">
            <v>0</v>
          </cell>
          <cell r="P86">
            <v>26862</v>
          </cell>
          <cell r="Q86">
            <v>2000</v>
          </cell>
        </row>
        <row r="87">
          <cell r="I87">
            <v>22597</v>
          </cell>
          <cell r="J87">
            <v>15366</v>
          </cell>
          <cell r="K87">
            <v>221</v>
          </cell>
          <cell r="L87">
            <v>210</v>
          </cell>
          <cell r="M87">
            <v>1800</v>
          </cell>
          <cell r="N87">
            <v>0</v>
          </cell>
          <cell r="O87">
            <v>0</v>
          </cell>
          <cell r="P87">
            <v>17597</v>
          </cell>
          <cell r="Q87">
            <v>5000</v>
          </cell>
        </row>
        <row r="90">
          <cell r="I90">
            <v>19950</v>
          </cell>
          <cell r="J90">
            <v>17358</v>
          </cell>
          <cell r="K90">
            <v>182</v>
          </cell>
          <cell r="L90">
            <v>210</v>
          </cell>
          <cell r="M90">
            <v>1200</v>
          </cell>
          <cell r="N90">
            <v>0</v>
          </cell>
          <cell r="O90">
            <v>0</v>
          </cell>
          <cell r="P90">
            <v>18950</v>
          </cell>
          <cell r="Q90">
            <v>1000</v>
          </cell>
        </row>
        <row r="91">
          <cell r="I91">
            <v>19950</v>
          </cell>
          <cell r="J91">
            <v>15358</v>
          </cell>
          <cell r="K91">
            <v>182</v>
          </cell>
          <cell r="L91">
            <v>210</v>
          </cell>
          <cell r="M91">
            <v>1200</v>
          </cell>
          <cell r="N91">
            <v>0</v>
          </cell>
          <cell r="O91">
            <v>0</v>
          </cell>
          <cell r="P91">
            <v>16950</v>
          </cell>
          <cell r="Q91">
            <v>3000</v>
          </cell>
        </row>
        <row r="92">
          <cell r="I92">
            <v>4012</v>
          </cell>
          <cell r="J92">
            <v>0</v>
          </cell>
          <cell r="K92">
            <v>0</v>
          </cell>
          <cell r="L92">
            <v>0</v>
          </cell>
          <cell r="M92">
            <v>360</v>
          </cell>
          <cell r="N92">
            <v>0</v>
          </cell>
          <cell r="O92">
            <v>0</v>
          </cell>
          <cell r="P92">
            <v>360</v>
          </cell>
          <cell r="Q92">
            <v>3652</v>
          </cell>
        </row>
        <row r="93">
          <cell r="I93">
            <v>3975</v>
          </cell>
          <cell r="J93">
            <v>0</v>
          </cell>
          <cell r="K93">
            <v>0</v>
          </cell>
          <cell r="L93">
            <v>0</v>
          </cell>
          <cell r="M93">
            <v>360</v>
          </cell>
          <cell r="N93">
            <v>0</v>
          </cell>
          <cell r="O93">
            <v>0</v>
          </cell>
          <cell r="P93">
            <v>360</v>
          </cell>
          <cell r="Q93">
            <v>3615</v>
          </cell>
        </row>
        <row r="94">
          <cell r="I94">
            <v>4278</v>
          </cell>
          <cell r="J94">
            <v>0</v>
          </cell>
          <cell r="K94">
            <v>0</v>
          </cell>
          <cell r="L94">
            <v>0</v>
          </cell>
          <cell r="M94">
            <v>360</v>
          </cell>
          <cell r="N94">
            <v>0</v>
          </cell>
          <cell r="O94">
            <v>0</v>
          </cell>
          <cell r="P94">
            <v>360</v>
          </cell>
          <cell r="Q94">
            <v>3918</v>
          </cell>
        </row>
        <row r="95">
          <cell r="I95">
            <v>4278</v>
          </cell>
          <cell r="J95">
            <v>0</v>
          </cell>
          <cell r="K95">
            <v>0</v>
          </cell>
          <cell r="L95">
            <v>0</v>
          </cell>
          <cell r="M95">
            <v>360</v>
          </cell>
          <cell r="N95">
            <v>0</v>
          </cell>
          <cell r="O95">
            <v>0</v>
          </cell>
          <cell r="P95">
            <v>360</v>
          </cell>
          <cell r="Q95">
            <v>3918</v>
          </cell>
        </row>
        <row r="96">
          <cell r="I96">
            <v>3455</v>
          </cell>
          <cell r="J96">
            <v>0</v>
          </cell>
          <cell r="K96">
            <v>0</v>
          </cell>
          <cell r="L96">
            <v>0</v>
          </cell>
          <cell r="M96">
            <v>360</v>
          </cell>
          <cell r="N96">
            <v>0</v>
          </cell>
          <cell r="O96">
            <v>0</v>
          </cell>
          <cell r="P96">
            <v>360</v>
          </cell>
          <cell r="Q96">
            <v>3095</v>
          </cell>
        </row>
        <row r="97">
          <cell r="I97">
            <v>3975</v>
          </cell>
          <cell r="J97">
            <v>0</v>
          </cell>
          <cell r="K97">
            <v>0</v>
          </cell>
          <cell r="L97">
            <v>0</v>
          </cell>
          <cell r="M97">
            <v>360</v>
          </cell>
          <cell r="N97">
            <v>0</v>
          </cell>
          <cell r="O97">
            <v>0</v>
          </cell>
          <cell r="P97">
            <v>360</v>
          </cell>
          <cell r="Q97">
            <v>3615</v>
          </cell>
        </row>
        <row r="98">
          <cell r="I98">
            <v>14007</v>
          </cell>
          <cell r="J98">
            <v>11935</v>
          </cell>
          <cell r="K98">
            <v>182</v>
          </cell>
          <cell r="L98">
            <v>210</v>
          </cell>
          <cell r="M98">
            <v>1680</v>
          </cell>
          <cell r="N98">
            <v>0</v>
          </cell>
          <cell r="O98">
            <v>0</v>
          </cell>
          <cell r="P98">
            <v>14007</v>
          </cell>
          <cell r="Q98">
            <v>0</v>
          </cell>
        </row>
        <row r="99">
          <cell r="I99">
            <v>17800</v>
          </cell>
          <cell r="J99">
            <v>15608</v>
          </cell>
          <cell r="K99">
            <v>182</v>
          </cell>
          <cell r="L99">
            <v>210</v>
          </cell>
          <cell r="M99">
            <v>1800</v>
          </cell>
          <cell r="N99">
            <v>0</v>
          </cell>
          <cell r="O99">
            <v>0</v>
          </cell>
          <cell r="P99">
            <v>17800</v>
          </cell>
          <cell r="Q99">
            <v>0</v>
          </cell>
        </row>
        <row r="100">
          <cell r="I100">
            <v>15596</v>
          </cell>
          <cell r="J100">
            <v>13404</v>
          </cell>
          <cell r="K100">
            <v>182</v>
          </cell>
          <cell r="L100">
            <v>210</v>
          </cell>
          <cell r="M100">
            <v>1800</v>
          </cell>
          <cell r="N100">
            <v>0</v>
          </cell>
          <cell r="O100">
            <v>0</v>
          </cell>
          <cell r="P100">
            <v>15596</v>
          </cell>
          <cell r="Q100">
            <v>0</v>
          </cell>
        </row>
        <row r="101">
          <cell r="I101">
            <v>16252</v>
          </cell>
          <cell r="J101">
            <v>14060</v>
          </cell>
          <cell r="K101">
            <v>182</v>
          </cell>
          <cell r="L101">
            <v>210</v>
          </cell>
          <cell r="M101">
            <v>1800</v>
          </cell>
          <cell r="N101">
            <v>0</v>
          </cell>
          <cell r="O101">
            <v>0</v>
          </cell>
          <cell r="P101">
            <v>16252</v>
          </cell>
          <cell r="Q101">
            <v>0</v>
          </cell>
        </row>
        <row r="102">
          <cell r="I102">
            <v>17640</v>
          </cell>
          <cell r="J102">
            <v>15448</v>
          </cell>
          <cell r="K102">
            <v>182</v>
          </cell>
          <cell r="L102">
            <v>210</v>
          </cell>
          <cell r="M102">
            <v>1800</v>
          </cell>
          <cell r="N102">
            <v>0</v>
          </cell>
          <cell r="O102">
            <v>0</v>
          </cell>
          <cell r="P102">
            <v>17640</v>
          </cell>
          <cell r="Q102">
            <v>0</v>
          </cell>
        </row>
        <row r="103">
          <cell r="I103">
            <v>15405</v>
          </cell>
          <cell r="J103">
            <v>13213</v>
          </cell>
          <cell r="K103">
            <v>182</v>
          </cell>
          <cell r="L103">
            <v>210</v>
          </cell>
          <cell r="M103">
            <v>1800</v>
          </cell>
          <cell r="N103">
            <v>0</v>
          </cell>
          <cell r="O103">
            <v>0</v>
          </cell>
          <cell r="P103">
            <v>15405</v>
          </cell>
          <cell r="Q103">
            <v>0</v>
          </cell>
        </row>
        <row r="104">
          <cell r="I104">
            <v>15417</v>
          </cell>
          <cell r="J104">
            <v>13285</v>
          </cell>
          <cell r="K104">
            <v>182</v>
          </cell>
          <cell r="L104">
            <v>210</v>
          </cell>
          <cell r="M104">
            <v>1740</v>
          </cell>
          <cell r="N104">
            <v>0</v>
          </cell>
          <cell r="O104">
            <v>0</v>
          </cell>
          <cell r="P104">
            <v>15417</v>
          </cell>
          <cell r="Q104">
            <v>0</v>
          </cell>
        </row>
        <row r="107">
          <cell r="I107">
            <v>14642</v>
          </cell>
          <cell r="J107">
            <v>12510</v>
          </cell>
          <cell r="K107">
            <v>182</v>
          </cell>
          <cell r="L107">
            <v>210</v>
          </cell>
          <cell r="M107">
            <v>1740</v>
          </cell>
          <cell r="N107">
            <v>0</v>
          </cell>
          <cell r="O107">
            <v>0</v>
          </cell>
          <cell r="P107">
            <v>14642</v>
          </cell>
          <cell r="Q107">
            <v>0</v>
          </cell>
        </row>
        <row r="108">
          <cell r="I108">
            <v>16490</v>
          </cell>
          <cell r="J108">
            <v>12298</v>
          </cell>
          <cell r="K108">
            <v>182</v>
          </cell>
          <cell r="L108">
            <v>210</v>
          </cell>
          <cell r="M108">
            <v>1800</v>
          </cell>
          <cell r="N108">
            <v>0</v>
          </cell>
          <cell r="O108">
            <v>0</v>
          </cell>
          <cell r="P108">
            <v>14490</v>
          </cell>
          <cell r="Q108">
            <v>2000</v>
          </cell>
        </row>
        <row r="109">
          <cell r="I109">
            <v>17477</v>
          </cell>
          <cell r="J109">
            <v>15285</v>
          </cell>
          <cell r="K109">
            <v>182</v>
          </cell>
          <cell r="L109">
            <v>210</v>
          </cell>
          <cell r="M109">
            <v>1800</v>
          </cell>
          <cell r="N109">
            <v>0</v>
          </cell>
          <cell r="O109">
            <v>0</v>
          </cell>
          <cell r="P109">
            <v>17477</v>
          </cell>
          <cell r="Q109">
            <v>0</v>
          </cell>
        </row>
        <row r="110">
          <cell r="I110">
            <v>15412</v>
          </cell>
          <cell r="J110">
            <v>11340</v>
          </cell>
          <cell r="K110">
            <v>182</v>
          </cell>
          <cell r="L110">
            <v>210</v>
          </cell>
          <cell r="M110">
            <v>1680</v>
          </cell>
          <cell r="N110">
            <v>0</v>
          </cell>
          <cell r="O110">
            <v>0</v>
          </cell>
          <cell r="P110">
            <v>13412</v>
          </cell>
          <cell r="Q110">
            <v>2000</v>
          </cell>
        </row>
        <row r="111">
          <cell r="I111">
            <v>30655</v>
          </cell>
          <cell r="J111">
            <v>23463</v>
          </cell>
          <cell r="K111">
            <v>182</v>
          </cell>
          <cell r="L111">
            <v>210</v>
          </cell>
          <cell r="M111">
            <v>1800</v>
          </cell>
          <cell r="N111">
            <v>0</v>
          </cell>
          <cell r="O111">
            <v>0</v>
          </cell>
          <cell r="P111">
            <v>25655</v>
          </cell>
          <cell r="Q111">
            <v>5000</v>
          </cell>
        </row>
        <row r="112">
          <cell r="I112">
            <v>28865</v>
          </cell>
          <cell r="J112">
            <v>25673</v>
          </cell>
          <cell r="K112">
            <v>182</v>
          </cell>
          <cell r="L112">
            <v>210</v>
          </cell>
          <cell r="M112">
            <v>1800</v>
          </cell>
          <cell r="N112">
            <v>0</v>
          </cell>
          <cell r="O112">
            <v>0</v>
          </cell>
          <cell r="P112">
            <v>27865</v>
          </cell>
          <cell r="Q112">
            <v>1000</v>
          </cell>
        </row>
        <row r="113">
          <cell r="I113">
            <v>28085</v>
          </cell>
          <cell r="J113">
            <v>21893</v>
          </cell>
          <cell r="K113">
            <v>182</v>
          </cell>
          <cell r="L113">
            <v>210</v>
          </cell>
          <cell r="M113">
            <v>1800</v>
          </cell>
          <cell r="N113">
            <v>0</v>
          </cell>
          <cell r="O113">
            <v>0</v>
          </cell>
          <cell r="P113">
            <v>24085</v>
          </cell>
          <cell r="Q113">
            <v>4000</v>
          </cell>
        </row>
        <row r="114">
          <cell r="I114">
            <v>31483</v>
          </cell>
          <cell r="J114">
            <v>29291</v>
          </cell>
          <cell r="K114">
            <v>182</v>
          </cell>
          <cell r="L114">
            <v>210</v>
          </cell>
          <cell r="M114">
            <v>1800</v>
          </cell>
          <cell r="N114">
            <v>0</v>
          </cell>
          <cell r="O114">
            <v>0</v>
          </cell>
          <cell r="P114">
            <v>31483</v>
          </cell>
          <cell r="Q114">
            <v>0</v>
          </cell>
        </row>
        <row r="115">
          <cell r="I115">
            <v>29381</v>
          </cell>
          <cell r="J115">
            <v>27147</v>
          </cell>
          <cell r="K115">
            <v>201</v>
          </cell>
          <cell r="L115">
            <v>233</v>
          </cell>
          <cell r="M115">
            <v>1800</v>
          </cell>
          <cell r="N115">
            <v>0</v>
          </cell>
          <cell r="O115">
            <v>0</v>
          </cell>
          <cell r="P115">
            <v>29381</v>
          </cell>
          <cell r="Q115">
            <v>0</v>
          </cell>
        </row>
        <row r="116">
          <cell r="I116">
            <v>25200</v>
          </cell>
          <cell r="J116">
            <v>18008</v>
          </cell>
          <cell r="K116">
            <v>182</v>
          </cell>
          <cell r="L116">
            <v>210</v>
          </cell>
          <cell r="M116">
            <v>1800</v>
          </cell>
          <cell r="N116">
            <v>0</v>
          </cell>
          <cell r="O116">
            <v>0</v>
          </cell>
          <cell r="P116">
            <v>20200</v>
          </cell>
          <cell r="Q116">
            <v>5000</v>
          </cell>
        </row>
        <row r="117">
          <cell r="I117">
            <v>23864</v>
          </cell>
          <cell r="J117">
            <v>0</v>
          </cell>
          <cell r="K117">
            <v>170</v>
          </cell>
          <cell r="L117">
            <v>0</v>
          </cell>
          <cell r="M117">
            <v>1620</v>
          </cell>
          <cell r="N117">
            <v>0</v>
          </cell>
          <cell r="O117">
            <v>0</v>
          </cell>
          <cell r="P117">
            <v>1790</v>
          </cell>
          <cell r="Q117">
            <v>22074</v>
          </cell>
        </row>
        <row r="118">
          <cell r="I118">
            <v>29358</v>
          </cell>
          <cell r="J118">
            <v>14166</v>
          </cell>
          <cell r="K118">
            <v>182</v>
          </cell>
          <cell r="L118">
            <v>210</v>
          </cell>
          <cell r="M118">
            <v>1800</v>
          </cell>
          <cell r="N118">
            <v>0</v>
          </cell>
          <cell r="O118">
            <v>2000</v>
          </cell>
          <cell r="P118">
            <v>18358</v>
          </cell>
          <cell r="Q118">
            <v>11000</v>
          </cell>
        </row>
        <row r="119">
          <cell r="I119">
            <v>24600</v>
          </cell>
          <cell r="J119">
            <v>19408</v>
          </cell>
          <cell r="K119">
            <v>182</v>
          </cell>
          <cell r="L119">
            <v>210</v>
          </cell>
          <cell r="M119">
            <v>1800</v>
          </cell>
          <cell r="N119">
            <v>0</v>
          </cell>
          <cell r="O119">
            <v>0</v>
          </cell>
          <cell r="P119">
            <v>21600</v>
          </cell>
          <cell r="Q119">
            <v>3000</v>
          </cell>
        </row>
        <row r="120">
          <cell r="I120">
            <v>27105</v>
          </cell>
          <cell r="J120">
            <v>20913</v>
          </cell>
          <cell r="K120">
            <v>182</v>
          </cell>
          <cell r="L120">
            <v>210</v>
          </cell>
          <cell r="M120">
            <v>1800</v>
          </cell>
          <cell r="N120">
            <v>0</v>
          </cell>
          <cell r="O120">
            <v>0</v>
          </cell>
          <cell r="P120">
            <v>23105</v>
          </cell>
          <cell r="Q120">
            <v>4000</v>
          </cell>
        </row>
        <row r="121">
          <cell r="I121">
            <v>26019</v>
          </cell>
          <cell r="J121">
            <v>18827</v>
          </cell>
          <cell r="K121">
            <v>182</v>
          </cell>
          <cell r="L121">
            <v>210</v>
          </cell>
          <cell r="M121">
            <v>1800</v>
          </cell>
          <cell r="N121">
            <v>0</v>
          </cell>
          <cell r="O121">
            <v>0</v>
          </cell>
          <cell r="P121">
            <v>21019</v>
          </cell>
          <cell r="Q121">
            <v>5000</v>
          </cell>
        </row>
        <row r="124">
          <cell r="I124">
            <v>27383</v>
          </cell>
          <cell r="J124">
            <v>21691</v>
          </cell>
          <cell r="K124">
            <v>182</v>
          </cell>
          <cell r="L124">
            <v>210</v>
          </cell>
          <cell r="M124">
            <v>1800</v>
          </cell>
          <cell r="N124">
            <v>0</v>
          </cell>
          <cell r="O124">
            <v>0</v>
          </cell>
          <cell r="P124">
            <v>23883</v>
          </cell>
          <cell r="Q124">
            <v>3500</v>
          </cell>
        </row>
        <row r="125">
          <cell r="I125">
            <v>27127</v>
          </cell>
          <cell r="J125">
            <v>21935</v>
          </cell>
          <cell r="K125">
            <v>182</v>
          </cell>
          <cell r="L125">
            <v>210</v>
          </cell>
          <cell r="M125">
            <v>1800</v>
          </cell>
          <cell r="N125">
            <v>0</v>
          </cell>
          <cell r="O125">
            <v>0</v>
          </cell>
          <cell r="P125">
            <v>24127</v>
          </cell>
          <cell r="Q125">
            <v>3000</v>
          </cell>
        </row>
        <row r="126">
          <cell r="I126">
            <v>23608</v>
          </cell>
          <cell r="J126">
            <v>16416</v>
          </cell>
          <cell r="K126">
            <v>182</v>
          </cell>
          <cell r="L126">
            <v>210</v>
          </cell>
          <cell r="M126">
            <v>1800</v>
          </cell>
          <cell r="N126">
            <v>0</v>
          </cell>
          <cell r="O126">
            <v>0</v>
          </cell>
          <cell r="P126">
            <v>18608</v>
          </cell>
          <cell r="Q126">
            <v>5000</v>
          </cell>
        </row>
        <row r="127">
          <cell r="I127">
            <v>26372</v>
          </cell>
          <cell r="J127">
            <v>21180</v>
          </cell>
          <cell r="K127">
            <v>182</v>
          </cell>
          <cell r="L127">
            <v>210</v>
          </cell>
          <cell r="M127">
            <v>1800</v>
          </cell>
          <cell r="N127">
            <v>0</v>
          </cell>
          <cell r="O127">
            <v>0</v>
          </cell>
          <cell r="P127">
            <v>23372</v>
          </cell>
          <cell r="Q127">
            <v>3000</v>
          </cell>
        </row>
        <row r="128">
          <cell r="I128">
            <v>28995</v>
          </cell>
          <cell r="J128">
            <v>23803</v>
          </cell>
          <cell r="K128">
            <v>182</v>
          </cell>
          <cell r="L128">
            <v>210</v>
          </cell>
          <cell r="M128">
            <v>1800</v>
          </cell>
          <cell r="N128">
            <v>0</v>
          </cell>
          <cell r="O128">
            <v>0</v>
          </cell>
          <cell r="P128">
            <v>25995</v>
          </cell>
          <cell r="Q128">
            <v>3000</v>
          </cell>
        </row>
        <row r="129">
          <cell r="I129">
            <v>23871</v>
          </cell>
          <cell r="J129">
            <v>16679</v>
          </cell>
          <cell r="K129">
            <v>182</v>
          </cell>
          <cell r="L129">
            <v>210</v>
          </cell>
          <cell r="M129">
            <v>1800</v>
          </cell>
          <cell r="N129">
            <v>0</v>
          </cell>
          <cell r="O129">
            <v>0</v>
          </cell>
          <cell r="P129">
            <v>18871</v>
          </cell>
          <cell r="Q129">
            <v>5000</v>
          </cell>
        </row>
        <row r="130">
          <cell r="I130">
            <v>20297</v>
          </cell>
          <cell r="J130">
            <v>18105</v>
          </cell>
          <cell r="K130">
            <v>182</v>
          </cell>
          <cell r="L130">
            <v>210</v>
          </cell>
          <cell r="M130">
            <v>1800</v>
          </cell>
          <cell r="N130">
            <v>0</v>
          </cell>
          <cell r="O130">
            <v>0</v>
          </cell>
          <cell r="P130">
            <v>20297</v>
          </cell>
          <cell r="Q130">
            <v>0</v>
          </cell>
        </row>
        <row r="131">
          <cell r="I131">
            <v>30953</v>
          </cell>
          <cell r="J131">
            <v>15761</v>
          </cell>
          <cell r="K131">
            <v>182</v>
          </cell>
          <cell r="L131">
            <v>210</v>
          </cell>
          <cell r="M131">
            <v>1800</v>
          </cell>
          <cell r="N131">
            <v>0</v>
          </cell>
          <cell r="O131">
            <v>0</v>
          </cell>
          <cell r="P131">
            <v>17953</v>
          </cell>
          <cell r="Q131">
            <v>13000</v>
          </cell>
        </row>
        <row r="132">
          <cell r="I132">
            <v>31918</v>
          </cell>
          <cell r="J132">
            <v>26726</v>
          </cell>
          <cell r="K132">
            <v>182</v>
          </cell>
          <cell r="L132">
            <v>210</v>
          </cell>
          <cell r="M132">
            <v>1800</v>
          </cell>
          <cell r="N132">
            <v>0</v>
          </cell>
          <cell r="O132">
            <v>0</v>
          </cell>
          <cell r="P132">
            <v>28918</v>
          </cell>
          <cell r="Q132">
            <v>3000</v>
          </cell>
        </row>
        <row r="133">
          <cell r="I133">
            <v>26363</v>
          </cell>
          <cell r="J133">
            <v>20721</v>
          </cell>
          <cell r="K133">
            <v>182</v>
          </cell>
          <cell r="L133">
            <v>210</v>
          </cell>
          <cell r="M133">
            <v>1800</v>
          </cell>
          <cell r="N133">
            <v>0</v>
          </cell>
          <cell r="O133">
            <v>0</v>
          </cell>
          <cell r="P133">
            <v>22913</v>
          </cell>
          <cell r="Q133">
            <v>3450</v>
          </cell>
        </row>
        <row r="134">
          <cell r="I134">
            <v>23607</v>
          </cell>
          <cell r="J134">
            <v>17415</v>
          </cell>
          <cell r="K134">
            <v>182</v>
          </cell>
          <cell r="L134">
            <v>210</v>
          </cell>
          <cell r="M134">
            <v>1800</v>
          </cell>
          <cell r="N134">
            <v>0</v>
          </cell>
          <cell r="O134">
            <v>0</v>
          </cell>
          <cell r="P134">
            <v>19607</v>
          </cell>
          <cell r="Q134">
            <v>4000</v>
          </cell>
        </row>
        <row r="135">
          <cell r="I135">
            <v>18703</v>
          </cell>
          <cell r="J135">
            <v>16511</v>
          </cell>
          <cell r="K135">
            <v>182</v>
          </cell>
          <cell r="L135">
            <v>210</v>
          </cell>
          <cell r="M135">
            <v>1800</v>
          </cell>
          <cell r="N135">
            <v>0</v>
          </cell>
          <cell r="O135">
            <v>0</v>
          </cell>
          <cell r="P135">
            <v>18703</v>
          </cell>
          <cell r="Q135">
            <v>0</v>
          </cell>
        </row>
        <row r="136">
          <cell r="I136">
            <v>20187</v>
          </cell>
          <cell r="J136">
            <v>17995</v>
          </cell>
          <cell r="K136">
            <v>182</v>
          </cell>
          <cell r="L136">
            <v>210</v>
          </cell>
          <cell r="M136">
            <v>1800</v>
          </cell>
          <cell r="N136">
            <v>0</v>
          </cell>
          <cell r="O136">
            <v>0</v>
          </cell>
          <cell r="P136">
            <v>20187</v>
          </cell>
          <cell r="Q136">
            <v>0</v>
          </cell>
        </row>
        <row r="137">
          <cell r="I137">
            <v>24761</v>
          </cell>
          <cell r="J137">
            <v>19569</v>
          </cell>
          <cell r="K137">
            <v>182</v>
          </cell>
          <cell r="L137">
            <v>210</v>
          </cell>
          <cell r="M137">
            <v>1800</v>
          </cell>
          <cell r="N137">
            <v>0</v>
          </cell>
          <cell r="O137">
            <v>0</v>
          </cell>
          <cell r="P137">
            <v>21761</v>
          </cell>
          <cell r="Q137">
            <v>3000</v>
          </cell>
        </row>
        <row r="138">
          <cell r="I138">
            <v>24716</v>
          </cell>
          <cell r="J138">
            <v>19524</v>
          </cell>
          <cell r="K138">
            <v>182</v>
          </cell>
          <cell r="L138">
            <v>210</v>
          </cell>
          <cell r="M138">
            <v>1800</v>
          </cell>
          <cell r="N138">
            <v>0</v>
          </cell>
          <cell r="O138">
            <v>0</v>
          </cell>
          <cell r="P138">
            <v>21716</v>
          </cell>
          <cell r="Q138">
            <v>3000</v>
          </cell>
        </row>
        <row r="141">
          <cell r="I141">
            <v>25336</v>
          </cell>
          <cell r="J141">
            <v>17144</v>
          </cell>
          <cell r="K141">
            <v>182</v>
          </cell>
          <cell r="L141">
            <v>210</v>
          </cell>
          <cell r="M141">
            <v>1800</v>
          </cell>
          <cell r="N141">
            <v>0</v>
          </cell>
          <cell r="O141">
            <v>0</v>
          </cell>
          <cell r="P141">
            <v>19336</v>
          </cell>
          <cell r="Q141">
            <v>6000</v>
          </cell>
        </row>
        <row r="142">
          <cell r="I142">
            <v>27504</v>
          </cell>
          <cell r="J142">
            <v>21312</v>
          </cell>
          <cell r="K142">
            <v>182</v>
          </cell>
          <cell r="L142">
            <v>210</v>
          </cell>
          <cell r="M142">
            <v>1800</v>
          </cell>
          <cell r="N142">
            <v>0</v>
          </cell>
          <cell r="O142">
            <v>0</v>
          </cell>
          <cell r="P142">
            <v>23504</v>
          </cell>
          <cell r="Q142">
            <v>4000</v>
          </cell>
        </row>
        <row r="143">
          <cell r="I143">
            <v>27862</v>
          </cell>
          <cell r="J143">
            <v>0</v>
          </cell>
          <cell r="K143">
            <v>170</v>
          </cell>
          <cell r="L143">
            <v>0</v>
          </cell>
          <cell r="M143">
            <v>1800</v>
          </cell>
          <cell r="N143">
            <v>0</v>
          </cell>
          <cell r="O143">
            <v>0</v>
          </cell>
          <cell r="P143">
            <v>1970</v>
          </cell>
          <cell r="Q143">
            <v>25892</v>
          </cell>
        </row>
        <row r="144">
          <cell r="I144">
            <v>26201</v>
          </cell>
          <cell r="J144">
            <v>16509</v>
          </cell>
          <cell r="K144">
            <v>182</v>
          </cell>
          <cell r="L144">
            <v>210</v>
          </cell>
          <cell r="M144">
            <v>1800</v>
          </cell>
          <cell r="N144">
            <v>0</v>
          </cell>
          <cell r="O144">
            <v>0</v>
          </cell>
          <cell r="P144">
            <v>18701</v>
          </cell>
          <cell r="Q144">
            <v>7500</v>
          </cell>
        </row>
        <row r="145">
          <cell r="I145">
            <v>26705</v>
          </cell>
          <cell r="J145">
            <v>0</v>
          </cell>
          <cell r="K145">
            <v>170</v>
          </cell>
          <cell r="L145">
            <v>0</v>
          </cell>
          <cell r="M145">
            <v>1800</v>
          </cell>
          <cell r="N145">
            <v>0</v>
          </cell>
          <cell r="O145">
            <v>0</v>
          </cell>
          <cell r="P145">
            <v>1970</v>
          </cell>
          <cell r="Q145">
            <v>24735</v>
          </cell>
        </row>
        <row r="146">
          <cell r="I146">
            <v>25408</v>
          </cell>
          <cell r="J146">
            <v>17216</v>
          </cell>
          <cell r="K146">
            <v>182</v>
          </cell>
          <cell r="L146">
            <v>210</v>
          </cell>
          <cell r="M146">
            <v>1800</v>
          </cell>
          <cell r="N146">
            <v>0</v>
          </cell>
          <cell r="O146">
            <v>2000</v>
          </cell>
          <cell r="P146">
            <v>21408</v>
          </cell>
          <cell r="Q146">
            <v>4000</v>
          </cell>
        </row>
        <row r="147">
          <cell r="I147">
            <v>27775</v>
          </cell>
          <cell r="J147">
            <v>21583</v>
          </cell>
          <cell r="K147">
            <v>182</v>
          </cell>
          <cell r="L147">
            <v>210</v>
          </cell>
          <cell r="M147">
            <v>1800</v>
          </cell>
          <cell r="N147">
            <v>0</v>
          </cell>
          <cell r="O147">
            <v>3000</v>
          </cell>
          <cell r="P147">
            <v>26775</v>
          </cell>
          <cell r="Q147">
            <v>1000</v>
          </cell>
        </row>
        <row r="148">
          <cell r="I148">
            <v>27334</v>
          </cell>
          <cell r="J148">
            <v>20642</v>
          </cell>
          <cell r="K148">
            <v>182</v>
          </cell>
          <cell r="L148">
            <v>210</v>
          </cell>
          <cell r="M148">
            <v>1800</v>
          </cell>
          <cell r="N148">
            <v>0</v>
          </cell>
          <cell r="O148">
            <v>3000</v>
          </cell>
          <cell r="P148">
            <v>25834</v>
          </cell>
          <cell r="Q148">
            <v>1500</v>
          </cell>
        </row>
        <row r="149">
          <cell r="I149">
            <v>27862</v>
          </cell>
          <cell r="J149">
            <v>20170</v>
          </cell>
          <cell r="K149">
            <v>182</v>
          </cell>
          <cell r="L149">
            <v>210</v>
          </cell>
          <cell r="M149">
            <v>1800</v>
          </cell>
          <cell r="N149">
            <v>0</v>
          </cell>
          <cell r="O149">
            <v>3000</v>
          </cell>
          <cell r="P149">
            <v>25362</v>
          </cell>
          <cell r="Q149">
            <v>2500</v>
          </cell>
        </row>
        <row r="150">
          <cell r="I150">
            <v>24880</v>
          </cell>
          <cell r="J150">
            <v>15688</v>
          </cell>
          <cell r="K150">
            <v>182</v>
          </cell>
          <cell r="L150">
            <v>210</v>
          </cell>
          <cell r="M150">
            <v>1800</v>
          </cell>
          <cell r="N150">
            <v>0</v>
          </cell>
          <cell r="O150">
            <v>3000</v>
          </cell>
          <cell r="P150">
            <v>20880</v>
          </cell>
          <cell r="Q150">
            <v>4000</v>
          </cell>
        </row>
        <row r="151">
          <cell r="I151">
            <v>26221</v>
          </cell>
          <cell r="J151">
            <v>20029</v>
          </cell>
          <cell r="K151">
            <v>182</v>
          </cell>
          <cell r="L151">
            <v>210</v>
          </cell>
          <cell r="M151">
            <v>1800</v>
          </cell>
          <cell r="N151">
            <v>0</v>
          </cell>
          <cell r="O151">
            <v>3000</v>
          </cell>
          <cell r="P151">
            <v>25221</v>
          </cell>
          <cell r="Q151">
            <v>1000</v>
          </cell>
        </row>
        <row r="152">
          <cell r="I152">
            <v>25091</v>
          </cell>
          <cell r="J152">
            <v>14399</v>
          </cell>
          <cell r="K152">
            <v>182</v>
          </cell>
          <cell r="L152">
            <v>210</v>
          </cell>
          <cell r="M152">
            <v>1800</v>
          </cell>
          <cell r="N152">
            <v>0</v>
          </cell>
          <cell r="O152">
            <v>0</v>
          </cell>
          <cell r="P152">
            <v>16591</v>
          </cell>
          <cell r="Q152">
            <v>8500</v>
          </cell>
        </row>
        <row r="153">
          <cell r="I153">
            <v>25408</v>
          </cell>
          <cell r="J153">
            <v>21216</v>
          </cell>
          <cell r="K153">
            <v>182</v>
          </cell>
          <cell r="L153">
            <v>210</v>
          </cell>
          <cell r="M153">
            <v>1800</v>
          </cell>
          <cell r="N153">
            <v>0</v>
          </cell>
          <cell r="O153">
            <v>0</v>
          </cell>
          <cell r="P153">
            <v>23408</v>
          </cell>
          <cell r="Q153">
            <v>2000</v>
          </cell>
        </row>
        <row r="154">
          <cell r="I154">
            <v>23429</v>
          </cell>
          <cell r="J154">
            <v>16237</v>
          </cell>
          <cell r="K154">
            <v>182</v>
          </cell>
          <cell r="L154">
            <v>210</v>
          </cell>
          <cell r="M154">
            <v>1800</v>
          </cell>
          <cell r="N154">
            <v>0</v>
          </cell>
          <cell r="O154">
            <v>0</v>
          </cell>
          <cell r="P154">
            <v>18429</v>
          </cell>
          <cell r="Q154">
            <v>5000</v>
          </cell>
        </row>
        <row r="155">
          <cell r="I155">
            <v>25408</v>
          </cell>
          <cell r="J155">
            <v>18216</v>
          </cell>
          <cell r="K155">
            <v>182</v>
          </cell>
          <cell r="L155">
            <v>210</v>
          </cell>
          <cell r="M155">
            <v>1800</v>
          </cell>
          <cell r="N155">
            <v>0</v>
          </cell>
          <cell r="O155">
            <v>0</v>
          </cell>
          <cell r="P155">
            <v>20408</v>
          </cell>
          <cell r="Q155">
            <v>5000</v>
          </cell>
        </row>
        <row r="158">
          <cell r="I158">
            <v>26330</v>
          </cell>
          <cell r="J158">
            <v>21138</v>
          </cell>
          <cell r="K158">
            <v>182</v>
          </cell>
          <cell r="L158">
            <v>210</v>
          </cell>
          <cell r="M158">
            <v>1800</v>
          </cell>
          <cell r="N158">
            <v>0</v>
          </cell>
          <cell r="O158">
            <v>0</v>
          </cell>
          <cell r="P158">
            <v>23330</v>
          </cell>
          <cell r="Q158">
            <v>3000</v>
          </cell>
        </row>
        <row r="159">
          <cell r="I159">
            <v>19963</v>
          </cell>
          <cell r="J159">
            <v>0</v>
          </cell>
          <cell r="K159">
            <v>170</v>
          </cell>
          <cell r="L159">
            <v>0</v>
          </cell>
          <cell r="M159">
            <v>1560</v>
          </cell>
          <cell r="N159">
            <v>0</v>
          </cell>
          <cell r="O159">
            <v>0</v>
          </cell>
          <cell r="P159">
            <v>1730</v>
          </cell>
          <cell r="Q159">
            <v>18233</v>
          </cell>
        </row>
        <row r="160">
          <cell r="I160">
            <v>28467</v>
          </cell>
          <cell r="J160">
            <v>21275</v>
          </cell>
          <cell r="K160">
            <v>182</v>
          </cell>
          <cell r="L160">
            <v>210</v>
          </cell>
          <cell r="M160">
            <v>1800</v>
          </cell>
          <cell r="N160">
            <v>0</v>
          </cell>
          <cell r="O160">
            <v>2000</v>
          </cell>
          <cell r="P160">
            <v>25467</v>
          </cell>
          <cell r="Q160">
            <v>3000</v>
          </cell>
        </row>
        <row r="161">
          <cell r="I161">
            <v>14884</v>
          </cell>
          <cell r="J161">
            <v>8292</v>
          </cell>
          <cell r="K161">
            <v>182</v>
          </cell>
          <cell r="L161">
            <v>210</v>
          </cell>
          <cell r="M161">
            <v>1200</v>
          </cell>
          <cell r="N161">
            <v>0</v>
          </cell>
          <cell r="O161">
            <v>0</v>
          </cell>
          <cell r="P161">
            <v>9884</v>
          </cell>
          <cell r="Q161">
            <v>5000</v>
          </cell>
        </row>
        <row r="162">
          <cell r="I162">
            <v>15168</v>
          </cell>
          <cell r="J162">
            <v>8576</v>
          </cell>
          <cell r="K162">
            <v>182</v>
          </cell>
          <cell r="L162">
            <v>210</v>
          </cell>
          <cell r="M162">
            <v>1200</v>
          </cell>
          <cell r="N162">
            <v>0</v>
          </cell>
          <cell r="O162">
            <v>0</v>
          </cell>
          <cell r="P162">
            <v>10168</v>
          </cell>
          <cell r="Q162">
            <v>5000</v>
          </cell>
        </row>
        <row r="163">
          <cell r="I163">
            <v>16486</v>
          </cell>
          <cell r="J163">
            <v>11894</v>
          </cell>
          <cell r="K163">
            <v>182</v>
          </cell>
          <cell r="L163">
            <v>210</v>
          </cell>
          <cell r="M163">
            <v>1200</v>
          </cell>
          <cell r="N163">
            <v>0</v>
          </cell>
          <cell r="O163">
            <v>0</v>
          </cell>
          <cell r="P163">
            <v>13486</v>
          </cell>
          <cell r="Q163">
            <v>3000</v>
          </cell>
        </row>
        <row r="164">
          <cell r="I164">
            <v>3426</v>
          </cell>
          <cell r="J164">
            <v>0</v>
          </cell>
          <cell r="K164">
            <v>0</v>
          </cell>
          <cell r="L164">
            <v>0</v>
          </cell>
          <cell r="M164">
            <v>360</v>
          </cell>
          <cell r="N164">
            <v>0</v>
          </cell>
          <cell r="O164">
            <v>0</v>
          </cell>
          <cell r="P164">
            <v>360</v>
          </cell>
          <cell r="Q164">
            <v>3066</v>
          </cell>
        </row>
        <row r="165">
          <cell r="I165">
            <v>3457</v>
          </cell>
          <cell r="J165">
            <v>0</v>
          </cell>
          <cell r="K165">
            <v>0</v>
          </cell>
          <cell r="L165">
            <v>0</v>
          </cell>
          <cell r="M165">
            <v>360</v>
          </cell>
          <cell r="N165">
            <v>0</v>
          </cell>
          <cell r="O165">
            <v>0</v>
          </cell>
          <cell r="P165">
            <v>360</v>
          </cell>
          <cell r="Q165">
            <v>3097</v>
          </cell>
        </row>
        <row r="166">
          <cell r="I166">
            <v>3426</v>
          </cell>
          <cell r="J166">
            <v>0</v>
          </cell>
          <cell r="K166">
            <v>0</v>
          </cell>
          <cell r="L166">
            <v>0</v>
          </cell>
          <cell r="M166">
            <v>360</v>
          </cell>
          <cell r="N166">
            <v>0</v>
          </cell>
          <cell r="O166">
            <v>0</v>
          </cell>
          <cell r="P166">
            <v>360</v>
          </cell>
          <cell r="Q166">
            <v>3066</v>
          </cell>
        </row>
        <row r="167">
          <cell r="I167">
            <v>7762</v>
          </cell>
          <cell r="J167">
            <v>0</v>
          </cell>
          <cell r="K167">
            <v>0</v>
          </cell>
          <cell r="L167">
            <v>0</v>
          </cell>
          <cell r="M167">
            <v>600</v>
          </cell>
          <cell r="N167">
            <v>0</v>
          </cell>
          <cell r="O167">
            <v>0</v>
          </cell>
          <cell r="P167">
            <v>600</v>
          </cell>
          <cell r="Q167">
            <v>7162</v>
          </cell>
        </row>
        <row r="168">
          <cell r="I168">
            <v>7165</v>
          </cell>
          <cell r="J168">
            <v>0</v>
          </cell>
          <cell r="K168">
            <v>0</v>
          </cell>
          <cell r="L168">
            <v>0</v>
          </cell>
          <cell r="M168">
            <v>600</v>
          </cell>
          <cell r="N168">
            <v>0</v>
          </cell>
          <cell r="O168">
            <v>0</v>
          </cell>
          <cell r="P168">
            <v>600</v>
          </cell>
          <cell r="Q168">
            <v>6565</v>
          </cell>
        </row>
        <row r="169">
          <cell r="I169">
            <v>8056</v>
          </cell>
          <cell r="J169">
            <v>0</v>
          </cell>
          <cell r="K169">
            <v>0</v>
          </cell>
          <cell r="L169">
            <v>0</v>
          </cell>
          <cell r="M169">
            <v>600</v>
          </cell>
          <cell r="N169">
            <v>0</v>
          </cell>
          <cell r="O169">
            <v>0</v>
          </cell>
          <cell r="P169">
            <v>600</v>
          </cell>
          <cell r="Q169">
            <v>7456</v>
          </cell>
        </row>
        <row r="170">
          <cell r="I170">
            <v>17800</v>
          </cell>
          <cell r="J170">
            <v>15608</v>
          </cell>
          <cell r="K170">
            <v>182</v>
          </cell>
          <cell r="L170">
            <v>210</v>
          </cell>
          <cell r="M170">
            <v>1800</v>
          </cell>
          <cell r="N170">
            <v>0</v>
          </cell>
          <cell r="O170">
            <v>0</v>
          </cell>
          <cell r="P170">
            <v>17800</v>
          </cell>
          <cell r="Q170">
            <v>0</v>
          </cell>
        </row>
        <row r="171">
          <cell r="I171">
            <v>20500</v>
          </cell>
          <cell r="J171">
            <v>18287</v>
          </cell>
          <cell r="K171">
            <v>191</v>
          </cell>
          <cell r="L171">
            <v>222</v>
          </cell>
          <cell r="M171">
            <v>1800</v>
          </cell>
          <cell r="N171">
            <v>0</v>
          </cell>
          <cell r="O171">
            <v>0</v>
          </cell>
          <cell r="P171">
            <v>20500</v>
          </cell>
          <cell r="Q171">
            <v>0</v>
          </cell>
        </row>
        <row r="172">
          <cell r="I172">
            <v>16450</v>
          </cell>
          <cell r="J172">
            <v>14318</v>
          </cell>
          <cell r="K172">
            <v>182</v>
          </cell>
          <cell r="L172">
            <v>210</v>
          </cell>
          <cell r="M172">
            <v>1740</v>
          </cell>
          <cell r="N172">
            <v>0</v>
          </cell>
          <cell r="O172">
            <v>0</v>
          </cell>
          <cell r="P172">
            <v>16450</v>
          </cell>
          <cell r="Q172">
            <v>0</v>
          </cell>
        </row>
        <row r="175">
          <cell r="I175">
            <v>16303</v>
          </cell>
          <cell r="J175">
            <v>9171</v>
          </cell>
          <cell r="K175">
            <v>182</v>
          </cell>
          <cell r="L175">
            <v>210</v>
          </cell>
          <cell r="M175">
            <v>1740</v>
          </cell>
          <cell r="N175">
            <v>0</v>
          </cell>
          <cell r="O175">
            <v>0</v>
          </cell>
          <cell r="P175">
            <v>11303</v>
          </cell>
          <cell r="Q175">
            <v>5000</v>
          </cell>
        </row>
        <row r="176">
          <cell r="I176">
            <v>16708</v>
          </cell>
          <cell r="J176">
            <v>14576</v>
          </cell>
          <cell r="K176">
            <v>182</v>
          </cell>
          <cell r="L176">
            <v>210</v>
          </cell>
          <cell r="M176">
            <v>1740</v>
          </cell>
          <cell r="N176">
            <v>0</v>
          </cell>
          <cell r="O176">
            <v>0</v>
          </cell>
          <cell r="P176">
            <v>16708</v>
          </cell>
          <cell r="Q176">
            <v>0</v>
          </cell>
        </row>
        <row r="177">
          <cell r="I177">
            <v>18696</v>
          </cell>
          <cell r="J177">
            <v>16504</v>
          </cell>
          <cell r="K177">
            <v>182</v>
          </cell>
          <cell r="L177">
            <v>210</v>
          </cell>
          <cell r="M177">
            <v>1800</v>
          </cell>
          <cell r="N177">
            <v>0</v>
          </cell>
          <cell r="O177">
            <v>0</v>
          </cell>
          <cell r="P177">
            <v>18696</v>
          </cell>
          <cell r="Q177">
            <v>0</v>
          </cell>
        </row>
        <row r="178">
          <cell r="I178">
            <v>10946</v>
          </cell>
          <cell r="J178">
            <v>0</v>
          </cell>
          <cell r="K178">
            <v>170</v>
          </cell>
          <cell r="L178">
            <v>0</v>
          </cell>
          <cell r="M178">
            <v>1140</v>
          </cell>
          <cell r="N178">
            <v>0</v>
          </cell>
          <cell r="O178">
            <v>0</v>
          </cell>
          <cell r="P178">
            <v>1310</v>
          </cell>
          <cell r="Q178">
            <v>9636</v>
          </cell>
        </row>
        <row r="179">
          <cell r="I179">
            <v>18168</v>
          </cell>
          <cell r="J179">
            <v>13976</v>
          </cell>
          <cell r="K179">
            <v>182</v>
          </cell>
          <cell r="L179">
            <v>210</v>
          </cell>
          <cell r="M179">
            <v>1800</v>
          </cell>
          <cell r="N179">
            <v>0</v>
          </cell>
          <cell r="O179">
            <v>2000</v>
          </cell>
          <cell r="P179">
            <v>18168</v>
          </cell>
          <cell r="Q179">
            <v>0</v>
          </cell>
        </row>
      </sheetData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薪資BAK"/>
      <sheetName val="勞健保BAK"/>
      <sheetName val="廚工及翻譯"/>
      <sheetName val="薪資DEMO (2)"/>
      <sheetName val="測量"/>
      <sheetName val="路工"/>
      <sheetName val="橋工"/>
      <sheetName val="安衛"/>
      <sheetName val="排水"/>
      <sheetName val="Demo"/>
      <sheetName val="薪資DEMO"/>
      <sheetName val="勞保DEMO"/>
      <sheetName val="健保DEMO"/>
      <sheetName val="MAIN"/>
      <sheetName val="薪資DEMO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報"/>
      <sheetName val="天機工"/>
      <sheetName val="數量"/>
      <sheetName val="估驗計算式"/>
      <sheetName val="計算"/>
      <sheetName val="記事"/>
      <sheetName val="晴雨表"/>
      <sheetName val="上半月報"/>
      <sheetName val="下半月報"/>
      <sheetName val="累計數量"/>
      <sheetName val="按日計酬"/>
    </sheetNames>
    <sheetDataSet>
      <sheetData sheetId="0" refreshError="1"/>
      <sheetData sheetId="1" refreshError="1"/>
      <sheetData sheetId="2" refreshError="1">
        <row r="5">
          <cell r="D5">
            <v>1</v>
          </cell>
          <cell r="E5">
            <v>0.98000000000000009</v>
          </cell>
          <cell r="F5">
            <v>0.98000000000000009</v>
          </cell>
          <cell r="AM5">
            <v>0</v>
          </cell>
          <cell r="AN5">
            <v>0</v>
          </cell>
        </row>
        <row r="6">
          <cell r="D6">
            <v>59164</v>
          </cell>
          <cell r="E6">
            <v>56135</v>
          </cell>
          <cell r="F6">
            <v>56135</v>
          </cell>
          <cell r="AM6">
            <v>0</v>
          </cell>
          <cell r="AN6">
            <v>0</v>
          </cell>
        </row>
        <row r="7">
          <cell r="D7">
            <v>54477</v>
          </cell>
          <cell r="E7">
            <v>47000</v>
          </cell>
          <cell r="F7">
            <v>47000</v>
          </cell>
          <cell r="AM7">
            <v>0</v>
          </cell>
          <cell r="AN7">
            <v>0</v>
          </cell>
        </row>
        <row r="8">
          <cell r="D8">
            <v>40511.300000000003</v>
          </cell>
          <cell r="E8">
            <v>4309</v>
          </cell>
          <cell r="F8">
            <v>4309</v>
          </cell>
          <cell r="AM8">
            <v>0</v>
          </cell>
          <cell r="AN8">
            <v>0</v>
          </cell>
        </row>
        <row r="9">
          <cell r="D9">
            <v>1256</v>
          </cell>
          <cell r="E9">
            <v>0</v>
          </cell>
          <cell r="F9">
            <v>0</v>
          </cell>
          <cell r="AM9">
            <v>0</v>
          </cell>
          <cell r="AN9">
            <v>0</v>
          </cell>
        </row>
        <row r="10">
          <cell r="D10">
            <v>13437</v>
          </cell>
          <cell r="E10">
            <v>54.9</v>
          </cell>
          <cell r="F10">
            <v>55</v>
          </cell>
          <cell r="O10">
            <v>545.19000000000005</v>
          </cell>
          <cell r="P10">
            <v>538.86</v>
          </cell>
          <cell r="AM10">
            <v>1084.0500000000002</v>
          </cell>
          <cell r="AN10">
            <v>0</v>
          </cell>
        </row>
        <row r="11">
          <cell r="D11">
            <v>7417.1</v>
          </cell>
          <cell r="E11">
            <v>0</v>
          </cell>
          <cell r="F11">
            <v>0</v>
          </cell>
          <cell r="J11">
            <v>820.34</v>
          </cell>
          <cell r="L11">
            <v>829.96500000000003</v>
          </cell>
          <cell r="AM11">
            <v>1650.3050000000001</v>
          </cell>
          <cell r="AN11">
            <v>0</v>
          </cell>
        </row>
        <row r="12">
          <cell r="D12">
            <v>14231</v>
          </cell>
          <cell r="E12">
            <v>40.5</v>
          </cell>
          <cell r="F12">
            <v>41</v>
          </cell>
          <cell r="H12">
            <v>2310.42</v>
          </cell>
          <cell r="AM12">
            <v>2310.42</v>
          </cell>
          <cell r="AN12">
            <v>0</v>
          </cell>
        </row>
        <row r="13">
          <cell r="D13">
            <v>56297</v>
          </cell>
          <cell r="E13">
            <v>846.6</v>
          </cell>
          <cell r="F13">
            <v>847</v>
          </cell>
          <cell r="H13">
            <v>3937.62</v>
          </cell>
          <cell r="K13">
            <v>4315.8180000000002</v>
          </cell>
          <cell r="AM13">
            <v>8253.4380000000001</v>
          </cell>
          <cell r="AN13">
            <v>0</v>
          </cell>
        </row>
        <row r="14">
          <cell r="D14">
            <v>58003</v>
          </cell>
          <cell r="E14">
            <v>187.2</v>
          </cell>
          <cell r="F14">
            <v>188</v>
          </cell>
          <cell r="N14">
            <v>1261.5468000000001</v>
          </cell>
          <cell r="O14">
            <v>1246.9100000000001</v>
          </cell>
          <cell r="AM14">
            <v>2508.4567999999999</v>
          </cell>
          <cell r="AN14">
            <v>0</v>
          </cell>
        </row>
        <row r="15">
          <cell r="D15">
            <v>1144.3</v>
          </cell>
          <cell r="E15">
            <v>0</v>
          </cell>
          <cell r="F15">
            <v>0</v>
          </cell>
          <cell r="AM15">
            <v>0</v>
          </cell>
          <cell r="AN15">
            <v>0</v>
          </cell>
        </row>
        <row r="16">
          <cell r="D16">
            <v>62.9</v>
          </cell>
          <cell r="E16">
            <v>0</v>
          </cell>
          <cell r="F16">
            <v>0</v>
          </cell>
          <cell r="AM16">
            <v>0</v>
          </cell>
          <cell r="AN16">
            <v>0</v>
          </cell>
        </row>
        <row r="17">
          <cell r="E17">
            <v>0</v>
          </cell>
          <cell r="F17">
            <v>0</v>
          </cell>
          <cell r="AM17">
            <v>0</v>
          </cell>
        </row>
        <row r="18">
          <cell r="D18">
            <v>97777</v>
          </cell>
          <cell r="E18">
            <v>86947.61</v>
          </cell>
          <cell r="F18">
            <v>86948</v>
          </cell>
          <cell r="AM18">
            <v>0</v>
          </cell>
          <cell r="AN18">
            <v>0</v>
          </cell>
        </row>
        <row r="19">
          <cell r="D19">
            <v>61993</v>
          </cell>
          <cell r="E19">
            <v>32039.445</v>
          </cell>
          <cell r="F19">
            <v>32040</v>
          </cell>
          <cell r="G19">
            <v>170.01000000000002</v>
          </cell>
          <cell r="H19">
            <v>594.98</v>
          </cell>
          <cell r="I19">
            <v>579.79099999999994</v>
          </cell>
          <cell r="J19">
            <v>711.88300000000004</v>
          </cell>
          <cell r="K19">
            <v>701.83799999999997</v>
          </cell>
          <cell r="L19">
            <v>742.09699999999998</v>
          </cell>
          <cell r="M19">
            <v>534</v>
          </cell>
          <cell r="N19">
            <v>591.6</v>
          </cell>
          <cell r="O19">
            <v>194.7</v>
          </cell>
          <cell r="P19">
            <v>169.3</v>
          </cell>
          <cell r="Q19">
            <v>169.4</v>
          </cell>
          <cell r="AM19">
            <v>5159.5989999999993</v>
          </cell>
          <cell r="AN19">
            <v>0</v>
          </cell>
        </row>
        <row r="20">
          <cell r="D20">
            <v>380</v>
          </cell>
          <cell r="E20">
            <v>126</v>
          </cell>
          <cell r="F20">
            <v>126</v>
          </cell>
          <cell r="AM20">
            <v>0</v>
          </cell>
          <cell r="AN20">
            <v>0</v>
          </cell>
        </row>
        <row r="21">
          <cell r="D21">
            <v>589</v>
          </cell>
          <cell r="E21">
            <v>616.16</v>
          </cell>
          <cell r="F21">
            <v>617</v>
          </cell>
          <cell r="AM21">
            <v>0</v>
          </cell>
          <cell r="AN21">
            <v>0</v>
          </cell>
        </row>
        <row r="22">
          <cell r="D22">
            <v>23612</v>
          </cell>
          <cell r="E22">
            <v>13411.403000000002</v>
          </cell>
          <cell r="F22">
            <v>13412</v>
          </cell>
          <cell r="G22">
            <v>29.03</v>
          </cell>
          <cell r="H22">
            <v>44.650000000000006</v>
          </cell>
          <cell r="J22">
            <v>154.05000000000001</v>
          </cell>
          <cell r="K22">
            <v>55.25</v>
          </cell>
          <cell r="L22">
            <v>29.7</v>
          </cell>
          <cell r="M22">
            <v>36.71</v>
          </cell>
          <cell r="N22">
            <v>29.64</v>
          </cell>
          <cell r="P22">
            <v>62.97</v>
          </cell>
          <cell r="Q22">
            <v>96.4</v>
          </cell>
          <cell r="AM22">
            <v>538.4</v>
          </cell>
          <cell r="AN22">
            <v>0</v>
          </cell>
        </row>
        <row r="23">
          <cell r="D23">
            <v>1078</v>
          </cell>
          <cell r="E23">
            <v>872.05099999999993</v>
          </cell>
          <cell r="F23">
            <v>873</v>
          </cell>
          <cell r="I23">
            <v>12</v>
          </cell>
          <cell r="AM23">
            <v>12</v>
          </cell>
          <cell r="AN23">
            <v>0</v>
          </cell>
        </row>
        <row r="24">
          <cell r="D24">
            <v>0.3</v>
          </cell>
          <cell r="E24">
            <v>0</v>
          </cell>
          <cell r="F24">
            <v>0</v>
          </cell>
          <cell r="AM24">
            <v>0</v>
          </cell>
          <cell r="AN24">
            <v>0</v>
          </cell>
        </row>
        <row r="25">
          <cell r="D25">
            <v>1.4</v>
          </cell>
          <cell r="E25">
            <v>0.96</v>
          </cell>
          <cell r="F25">
            <v>1</v>
          </cell>
          <cell r="AM25">
            <v>0</v>
          </cell>
          <cell r="AN25">
            <v>0</v>
          </cell>
        </row>
        <row r="26">
          <cell r="D26">
            <v>570.70000000000005</v>
          </cell>
          <cell r="E26">
            <v>303.43800000000022</v>
          </cell>
          <cell r="F26">
            <v>304</v>
          </cell>
          <cell r="G26">
            <v>0.72899999999999998</v>
          </cell>
          <cell r="H26">
            <v>2.7480000000000002</v>
          </cell>
          <cell r="J26">
            <v>1.391</v>
          </cell>
          <cell r="K26">
            <v>1.1000000000000001</v>
          </cell>
          <cell r="L26">
            <v>7.05</v>
          </cell>
          <cell r="M26">
            <v>0.35399999999999998</v>
          </cell>
          <cell r="N26">
            <v>5.0960000000000001</v>
          </cell>
          <cell r="P26">
            <v>1.4339999999999999</v>
          </cell>
          <cell r="Q26">
            <v>1.9649999999999999</v>
          </cell>
          <cell r="AM26">
            <v>21.867000000000001</v>
          </cell>
          <cell r="AN26">
            <v>0</v>
          </cell>
        </row>
        <row r="27">
          <cell r="D27">
            <v>2586.8000000000002</v>
          </cell>
          <cell r="E27">
            <v>1613.2830000000008</v>
          </cell>
          <cell r="F27">
            <v>1614</v>
          </cell>
          <cell r="G27">
            <v>1.829</v>
          </cell>
          <cell r="H27">
            <v>64.03</v>
          </cell>
          <cell r="J27">
            <v>19.809000000000001</v>
          </cell>
          <cell r="K27">
            <v>5.6340000000000003</v>
          </cell>
          <cell r="L27">
            <v>0.433</v>
          </cell>
          <cell r="M27">
            <v>2.931</v>
          </cell>
          <cell r="N27">
            <v>0.39</v>
          </cell>
          <cell r="P27">
            <v>13.071</v>
          </cell>
          <cell r="Q27">
            <v>9.527000000000001</v>
          </cell>
          <cell r="AM27">
            <v>117.654</v>
          </cell>
          <cell r="AN27">
            <v>0</v>
          </cell>
        </row>
        <row r="28">
          <cell r="D28">
            <v>1670</v>
          </cell>
          <cell r="E28">
            <v>575</v>
          </cell>
          <cell r="F28">
            <v>575</v>
          </cell>
          <cell r="AM28">
            <v>0</v>
          </cell>
          <cell r="AN28">
            <v>0</v>
          </cell>
        </row>
        <row r="29">
          <cell r="D29">
            <v>5778.2</v>
          </cell>
          <cell r="E29">
            <v>3819.192</v>
          </cell>
          <cell r="F29">
            <v>3820</v>
          </cell>
          <cell r="H29">
            <v>9.6039999999999992</v>
          </cell>
          <cell r="J29">
            <v>55.5</v>
          </cell>
          <cell r="Q29">
            <v>9.6</v>
          </cell>
          <cell r="AM29">
            <v>74.703999999999994</v>
          </cell>
          <cell r="AN29">
            <v>0</v>
          </cell>
        </row>
        <row r="30">
          <cell r="D30">
            <v>3821.7</v>
          </cell>
          <cell r="E30">
            <v>939.7</v>
          </cell>
          <cell r="F30">
            <v>940</v>
          </cell>
          <cell r="L30">
            <v>96.47</v>
          </cell>
          <cell r="N30">
            <v>96.47</v>
          </cell>
          <cell r="P30">
            <v>181.21</v>
          </cell>
          <cell r="AM30">
            <v>374.15</v>
          </cell>
          <cell r="AN30">
            <v>0</v>
          </cell>
        </row>
        <row r="31">
          <cell r="D31">
            <v>9177.2000000000007</v>
          </cell>
          <cell r="E31">
            <v>5384.3449999999993</v>
          </cell>
          <cell r="F31">
            <v>5385</v>
          </cell>
          <cell r="K31">
            <v>84.64</v>
          </cell>
          <cell r="Q31">
            <v>84.48</v>
          </cell>
          <cell r="AM31">
            <v>169.12</v>
          </cell>
          <cell r="AN31">
            <v>0</v>
          </cell>
        </row>
        <row r="32">
          <cell r="D32">
            <v>24803.9</v>
          </cell>
          <cell r="E32">
            <v>13712.06</v>
          </cell>
          <cell r="F32">
            <v>13713</v>
          </cell>
          <cell r="G32">
            <v>54.15</v>
          </cell>
          <cell r="H32">
            <v>63.4</v>
          </cell>
          <cell r="K32">
            <v>107.58</v>
          </cell>
          <cell r="M32">
            <v>63.44</v>
          </cell>
          <cell r="P32">
            <v>54.15</v>
          </cell>
          <cell r="Q32">
            <v>108.12</v>
          </cell>
          <cell r="AM32">
            <v>450.84</v>
          </cell>
          <cell r="AN32">
            <v>0</v>
          </cell>
        </row>
        <row r="33">
          <cell r="D33">
            <v>72</v>
          </cell>
          <cell r="E33">
            <v>17</v>
          </cell>
          <cell r="F33">
            <v>17</v>
          </cell>
          <cell r="AM33">
            <v>0</v>
          </cell>
          <cell r="AN33">
            <v>0</v>
          </cell>
        </row>
        <row r="34">
          <cell r="D34">
            <v>969</v>
          </cell>
          <cell r="E34">
            <v>625.11400000000003</v>
          </cell>
          <cell r="F34">
            <v>626</v>
          </cell>
          <cell r="AM34">
            <v>0</v>
          </cell>
          <cell r="AN34">
            <v>0</v>
          </cell>
        </row>
        <row r="35">
          <cell r="D35">
            <v>4705.3999999999996</v>
          </cell>
          <cell r="E35">
            <v>931.91200000000003</v>
          </cell>
          <cell r="F35">
            <v>932</v>
          </cell>
          <cell r="I35">
            <v>0.61099999999999999</v>
          </cell>
          <cell r="J35">
            <v>43.277000000000001</v>
          </cell>
          <cell r="K35">
            <v>51.326999999999998</v>
          </cell>
          <cell r="L35">
            <v>50.933999999999997</v>
          </cell>
          <cell r="M35">
            <v>36</v>
          </cell>
          <cell r="N35">
            <v>29.04</v>
          </cell>
          <cell r="O35">
            <v>8.4700000000000006</v>
          </cell>
          <cell r="P35">
            <v>33.86</v>
          </cell>
          <cell r="Q35">
            <v>33.159999999999997</v>
          </cell>
          <cell r="AM35">
            <v>286.67899999999997</v>
          </cell>
          <cell r="AN35">
            <v>0</v>
          </cell>
        </row>
        <row r="36">
          <cell r="D36">
            <v>337</v>
          </cell>
          <cell r="E36">
            <v>0</v>
          </cell>
          <cell r="F36">
            <v>0</v>
          </cell>
          <cell r="AM36">
            <v>0</v>
          </cell>
          <cell r="AN36">
            <v>0</v>
          </cell>
        </row>
        <row r="37">
          <cell r="D37">
            <v>91</v>
          </cell>
          <cell r="E37">
            <v>0</v>
          </cell>
          <cell r="F37">
            <v>0</v>
          </cell>
          <cell r="AM37">
            <v>0</v>
          </cell>
          <cell r="AN37">
            <v>0</v>
          </cell>
        </row>
        <row r="38">
          <cell r="D38">
            <v>850.4</v>
          </cell>
          <cell r="E38">
            <v>680.31999999999994</v>
          </cell>
          <cell r="F38">
            <v>681</v>
          </cell>
          <cell r="AM38">
            <v>0</v>
          </cell>
          <cell r="AN38">
            <v>0</v>
          </cell>
        </row>
        <row r="39">
          <cell r="D39">
            <v>4550</v>
          </cell>
          <cell r="E39">
            <v>3463</v>
          </cell>
          <cell r="F39">
            <v>3463</v>
          </cell>
          <cell r="AM39">
            <v>0</v>
          </cell>
          <cell r="AN39">
            <v>0</v>
          </cell>
        </row>
        <row r="40">
          <cell r="D40">
            <v>17.2</v>
          </cell>
          <cell r="E40">
            <v>12.79</v>
          </cell>
          <cell r="F40">
            <v>13</v>
          </cell>
          <cell r="AM40">
            <v>0</v>
          </cell>
          <cell r="AN40">
            <v>0</v>
          </cell>
        </row>
        <row r="41">
          <cell r="D41">
            <v>6597.9</v>
          </cell>
          <cell r="E41">
            <v>5278.32</v>
          </cell>
          <cell r="F41">
            <v>5279</v>
          </cell>
          <cell r="AM41">
            <v>0</v>
          </cell>
          <cell r="AN41">
            <v>0</v>
          </cell>
        </row>
        <row r="42">
          <cell r="D42">
            <v>3131.8</v>
          </cell>
          <cell r="E42">
            <v>0</v>
          </cell>
          <cell r="F42">
            <v>0</v>
          </cell>
          <cell r="AM42">
            <v>0</v>
          </cell>
          <cell r="AN42">
            <v>0</v>
          </cell>
        </row>
        <row r="43">
          <cell r="D43">
            <v>5.9</v>
          </cell>
          <cell r="E43">
            <v>2.44</v>
          </cell>
          <cell r="F43">
            <v>3</v>
          </cell>
          <cell r="AM43">
            <v>0</v>
          </cell>
          <cell r="AN43">
            <v>0</v>
          </cell>
        </row>
        <row r="44">
          <cell r="D44">
            <v>5</v>
          </cell>
          <cell r="E44">
            <v>4</v>
          </cell>
          <cell r="F44">
            <v>4</v>
          </cell>
          <cell r="AM44">
            <v>0</v>
          </cell>
          <cell r="AN44">
            <v>0</v>
          </cell>
        </row>
        <row r="45">
          <cell r="D45">
            <v>8</v>
          </cell>
          <cell r="E45">
            <v>8</v>
          </cell>
          <cell r="F45">
            <v>8</v>
          </cell>
          <cell r="AM45">
            <v>0</v>
          </cell>
          <cell r="AN45">
            <v>0</v>
          </cell>
        </row>
        <row r="46">
          <cell r="D46">
            <v>4</v>
          </cell>
          <cell r="E46">
            <v>4</v>
          </cell>
          <cell r="F46">
            <v>4</v>
          </cell>
          <cell r="AM46">
            <v>0</v>
          </cell>
          <cell r="AN46">
            <v>0</v>
          </cell>
        </row>
        <row r="47">
          <cell r="D47">
            <v>10</v>
          </cell>
          <cell r="E47">
            <v>4</v>
          </cell>
          <cell r="F47">
            <v>4</v>
          </cell>
          <cell r="AM47">
            <v>0</v>
          </cell>
          <cell r="AN47">
            <v>0</v>
          </cell>
        </row>
        <row r="48">
          <cell r="D48">
            <v>6</v>
          </cell>
          <cell r="E48">
            <v>2</v>
          </cell>
          <cell r="F48">
            <v>2</v>
          </cell>
          <cell r="AM48">
            <v>0</v>
          </cell>
          <cell r="AN48">
            <v>0</v>
          </cell>
        </row>
        <row r="49">
          <cell r="D49">
            <v>10</v>
          </cell>
          <cell r="E49">
            <v>4</v>
          </cell>
          <cell r="F49">
            <v>4</v>
          </cell>
          <cell r="AM49">
            <v>0</v>
          </cell>
          <cell r="AN49">
            <v>0</v>
          </cell>
        </row>
        <row r="50">
          <cell r="D50">
            <v>16</v>
          </cell>
          <cell r="E50">
            <v>16</v>
          </cell>
          <cell r="F50">
            <v>16</v>
          </cell>
          <cell r="AM50">
            <v>0</v>
          </cell>
          <cell r="AN50">
            <v>0</v>
          </cell>
        </row>
        <row r="51">
          <cell r="D51">
            <v>8</v>
          </cell>
          <cell r="E51">
            <v>8</v>
          </cell>
          <cell r="F51">
            <v>8</v>
          </cell>
          <cell r="AM51">
            <v>0</v>
          </cell>
          <cell r="AN51">
            <v>0</v>
          </cell>
        </row>
        <row r="52">
          <cell r="D52">
            <v>4</v>
          </cell>
          <cell r="E52">
            <v>0</v>
          </cell>
          <cell r="F52">
            <v>0</v>
          </cell>
          <cell r="AM52">
            <v>0</v>
          </cell>
          <cell r="AN52">
            <v>0</v>
          </cell>
        </row>
        <row r="53">
          <cell r="D53">
            <v>4</v>
          </cell>
          <cell r="E53">
            <v>0</v>
          </cell>
          <cell r="F53">
            <v>0</v>
          </cell>
          <cell r="AM53">
            <v>0</v>
          </cell>
          <cell r="AN53">
            <v>0</v>
          </cell>
        </row>
        <row r="54">
          <cell r="D54">
            <v>5</v>
          </cell>
          <cell r="E54">
            <v>12.000000000000002</v>
          </cell>
          <cell r="F54">
            <v>12.000000000000002</v>
          </cell>
          <cell r="AM54">
            <v>0</v>
          </cell>
          <cell r="AN54">
            <v>0</v>
          </cell>
        </row>
        <row r="55">
          <cell r="D55">
            <v>5</v>
          </cell>
          <cell r="E55">
            <v>12.000000000000002</v>
          </cell>
          <cell r="F55">
            <v>12.000000000000002</v>
          </cell>
          <cell r="AM55">
            <v>0</v>
          </cell>
          <cell r="AN55">
            <v>0</v>
          </cell>
        </row>
        <row r="56">
          <cell r="D56">
            <v>302</v>
          </cell>
          <cell r="E56">
            <v>0</v>
          </cell>
          <cell r="F56">
            <v>0</v>
          </cell>
          <cell r="AM56">
            <v>0</v>
          </cell>
          <cell r="AN56">
            <v>0</v>
          </cell>
        </row>
        <row r="57">
          <cell r="D57">
            <v>145</v>
          </cell>
          <cell r="E57">
            <v>0</v>
          </cell>
          <cell r="F57">
            <v>0</v>
          </cell>
          <cell r="AM57">
            <v>0</v>
          </cell>
          <cell r="AN57">
            <v>0</v>
          </cell>
        </row>
        <row r="58">
          <cell r="D58">
            <v>3483</v>
          </cell>
          <cell r="E58">
            <v>1159.8399999999999</v>
          </cell>
          <cell r="F58">
            <v>1160</v>
          </cell>
          <cell r="AM58">
            <v>0</v>
          </cell>
          <cell r="AN58">
            <v>0</v>
          </cell>
        </row>
        <row r="59">
          <cell r="D59">
            <v>1056</v>
          </cell>
          <cell r="E59">
            <v>783.3</v>
          </cell>
          <cell r="F59">
            <v>784</v>
          </cell>
          <cell r="AM59">
            <v>0</v>
          </cell>
          <cell r="AN59">
            <v>0</v>
          </cell>
        </row>
        <row r="60">
          <cell r="D60">
            <v>312</v>
          </cell>
          <cell r="E60">
            <v>0</v>
          </cell>
          <cell r="F60">
            <v>0</v>
          </cell>
          <cell r="AM60">
            <v>0</v>
          </cell>
          <cell r="AN60">
            <v>0</v>
          </cell>
        </row>
        <row r="61">
          <cell r="D61">
            <v>200</v>
          </cell>
          <cell r="E61">
            <v>0</v>
          </cell>
          <cell r="F61">
            <v>0</v>
          </cell>
          <cell r="AM61">
            <v>0</v>
          </cell>
          <cell r="AN61">
            <v>0</v>
          </cell>
        </row>
        <row r="62">
          <cell r="D62">
            <v>1</v>
          </cell>
          <cell r="E62">
            <v>0.95000000000000007</v>
          </cell>
          <cell r="AM62">
            <v>0</v>
          </cell>
          <cell r="AN62">
            <v>0</v>
          </cell>
        </row>
        <row r="63">
          <cell r="D63">
            <v>600</v>
          </cell>
          <cell r="E63">
            <v>600</v>
          </cell>
          <cell r="F63">
            <v>600</v>
          </cell>
          <cell r="AM63">
            <v>0</v>
          </cell>
          <cell r="AN63">
            <v>0</v>
          </cell>
        </row>
        <row r="64">
          <cell r="E64">
            <v>0</v>
          </cell>
          <cell r="AM64">
            <v>0</v>
          </cell>
          <cell r="AN64">
            <v>0</v>
          </cell>
        </row>
        <row r="65">
          <cell r="D65">
            <v>39.799999999999997</v>
          </cell>
          <cell r="E65">
            <v>0</v>
          </cell>
          <cell r="F65">
            <v>0</v>
          </cell>
          <cell r="AM65">
            <v>0</v>
          </cell>
          <cell r="AN65">
            <v>0</v>
          </cell>
        </row>
        <row r="66">
          <cell r="D66">
            <v>14002.4</v>
          </cell>
          <cell r="E66">
            <v>10247.82</v>
          </cell>
          <cell r="F66">
            <v>10248</v>
          </cell>
          <cell r="G66">
            <v>32.229999999999997</v>
          </cell>
          <cell r="H66">
            <v>32.24</v>
          </cell>
          <cell r="I66">
            <v>40.47</v>
          </cell>
          <cell r="J66">
            <v>32.24</v>
          </cell>
          <cell r="O66">
            <v>18.55</v>
          </cell>
          <cell r="P66">
            <v>32.159999999999997</v>
          </cell>
          <cell r="Q66">
            <v>32.159999999999997</v>
          </cell>
          <cell r="R66">
            <v>32.159999999999997</v>
          </cell>
          <cell r="S66">
            <v>48.64</v>
          </cell>
          <cell r="AM66">
            <v>300.85000000000002</v>
          </cell>
          <cell r="AN66">
            <v>0</v>
          </cell>
        </row>
        <row r="67">
          <cell r="D67">
            <v>4625.8</v>
          </cell>
          <cell r="E67">
            <v>2064.4700000000003</v>
          </cell>
          <cell r="F67">
            <v>2065</v>
          </cell>
          <cell r="G67">
            <v>3.18</v>
          </cell>
          <cell r="H67">
            <v>3.2</v>
          </cell>
          <cell r="I67">
            <v>7.98</v>
          </cell>
          <cell r="J67">
            <v>3.2</v>
          </cell>
          <cell r="O67">
            <v>11.05</v>
          </cell>
          <cell r="P67">
            <v>3.2</v>
          </cell>
          <cell r="Q67">
            <v>3.2</v>
          </cell>
          <cell r="R67">
            <v>3.2</v>
          </cell>
          <cell r="S67">
            <v>12.8</v>
          </cell>
          <cell r="AM67">
            <v>51.010000000000005</v>
          </cell>
          <cell r="AN67">
            <v>0</v>
          </cell>
        </row>
        <row r="68">
          <cell r="D68">
            <v>22.5</v>
          </cell>
          <cell r="E68">
            <v>0</v>
          </cell>
          <cell r="F68">
            <v>0</v>
          </cell>
          <cell r="AM68">
            <v>0</v>
          </cell>
          <cell r="AN68">
            <v>0</v>
          </cell>
        </row>
        <row r="69">
          <cell r="D69">
            <v>101.2</v>
          </cell>
          <cell r="E69">
            <v>125.02000000000001</v>
          </cell>
          <cell r="F69">
            <v>126</v>
          </cell>
          <cell r="M69">
            <v>2.8499999999999996</v>
          </cell>
          <cell r="Q69">
            <v>4.1999999999999993</v>
          </cell>
          <cell r="AM69">
            <v>7.0499999999999989</v>
          </cell>
          <cell r="AN69">
            <v>0</v>
          </cell>
        </row>
        <row r="70">
          <cell r="D70">
            <v>74.3</v>
          </cell>
          <cell r="E70">
            <v>77.036000000000001</v>
          </cell>
          <cell r="F70">
            <v>78</v>
          </cell>
          <cell r="G70">
            <v>9.5000000000000001E-2</v>
          </cell>
          <cell r="H70">
            <v>9.4E-2</v>
          </cell>
          <cell r="I70">
            <v>0.26700000000000002</v>
          </cell>
          <cell r="J70">
            <v>9.4E-2</v>
          </cell>
          <cell r="O70">
            <v>0.504</v>
          </cell>
          <cell r="P70">
            <v>0.14199999999999999</v>
          </cell>
          <cell r="Q70">
            <v>9.4E-2</v>
          </cell>
          <cell r="R70">
            <v>0.14199999999999999</v>
          </cell>
          <cell r="S70">
            <v>0.43799999999999994</v>
          </cell>
          <cell r="AM70">
            <v>1.8699999999999999</v>
          </cell>
          <cell r="AN70">
            <v>0</v>
          </cell>
        </row>
        <row r="71">
          <cell r="D71">
            <v>47.8</v>
          </cell>
          <cell r="E71">
            <v>95.758000000000067</v>
          </cell>
          <cell r="F71">
            <v>96</v>
          </cell>
          <cell r="O71">
            <v>0.51600000000000001</v>
          </cell>
          <cell r="AM71">
            <v>0.51600000000000001</v>
          </cell>
          <cell r="AN71">
            <v>0</v>
          </cell>
        </row>
        <row r="72">
          <cell r="D72">
            <v>610</v>
          </cell>
          <cell r="E72">
            <v>583.41</v>
          </cell>
          <cell r="F72">
            <v>584</v>
          </cell>
          <cell r="AM72">
            <v>0</v>
          </cell>
          <cell r="AN72">
            <v>0</v>
          </cell>
        </row>
        <row r="73">
          <cell r="D73">
            <v>141</v>
          </cell>
          <cell r="E73">
            <v>0</v>
          </cell>
          <cell r="F73">
            <v>0</v>
          </cell>
          <cell r="AM73">
            <v>0</v>
          </cell>
          <cell r="AN73">
            <v>0</v>
          </cell>
        </row>
        <row r="74">
          <cell r="D74">
            <v>17</v>
          </cell>
          <cell r="E74">
            <v>0</v>
          </cell>
          <cell r="F74">
            <v>0</v>
          </cell>
          <cell r="AM74">
            <v>0</v>
          </cell>
          <cell r="AN74">
            <v>0</v>
          </cell>
        </row>
        <row r="75">
          <cell r="D75">
            <v>12</v>
          </cell>
          <cell r="E75">
            <v>2</v>
          </cell>
          <cell r="F75">
            <v>2</v>
          </cell>
          <cell r="AM75">
            <v>0</v>
          </cell>
          <cell r="AN75">
            <v>0</v>
          </cell>
        </row>
        <row r="76">
          <cell r="D76">
            <v>1</v>
          </cell>
          <cell r="E76">
            <v>0</v>
          </cell>
          <cell r="F76">
            <v>0</v>
          </cell>
          <cell r="AM76">
            <v>0</v>
          </cell>
          <cell r="AN76">
            <v>0</v>
          </cell>
        </row>
        <row r="77">
          <cell r="E77">
            <v>0</v>
          </cell>
          <cell r="AM77">
            <v>0</v>
          </cell>
          <cell r="AN77">
            <v>0</v>
          </cell>
        </row>
        <row r="78">
          <cell r="D78">
            <v>5005.8999999999996</v>
          </cell>
          <cell r="E78">
            <v>2395.91</v>
          </cell>
          <cell r="F78">
            <v>2396</v>
          </cell>
          <cell r="L78">
            <v>20</v>
          </cell>
          <cell r="M78">
            <v>20</v>
          </cell>
          <cell r="N78">
            <v>20</v>
          </cell>
          <cell r="O78">
            <v>20</v>
          </cell>
          <cell r="P78">
            <v>20</v>
          </cell>
          <cell r="Q78">
            <v>20</v>
          </cell>
          <cell r="R78">
            <v>20</v>
          </cell>
          <cell r="AM78">
            <v>140</v>
          </cell>
          <cell r="AN78">
            <v>0</v>
          </cell>
        </row>
        <row r="79">
          <cell r="D79">
            <v>395</v>
          </cell>
          <cell r="E79">
            <v>0</v>
          </cell>
          <cell r="F79">
            <v>0</v>
          </cell>
          <cell r="S79">
            <v>20</v>
          </cell>
          <cell r="AM79">
            <v>20</v>
          </cell>
          <cell r="AN79">
            <v>0</v>
          </cell>
        </row>
        <row r="80">
          <cell r="D80">
            <v>442.1</v>
          </cell>
          <cell r="E80">
            <v>0</v>
          </cell>
          <cell r="F80">
            <v>0</v>
          </cell>
          <cell r="AM80">
            <v>0</v>
          </cell>
          <cell r="AN80">
            <v>0</v>
          </cell>
        </row>
        <row r="81">
          <cell r="D81">
            <v>27</v>
          </cell>
          <cell r="E81">
            <v>0</v>
          </cell>
          <cell r="F81">
            <v>0</v>
          </cell>
          <cell r="AM81">
            <v>0</v>
          </cell>
          <cell r="AN81">
            <v>0</v>
          </cell>
        </row>
        <row r="82">
          <cell r="D82">
            <v>477</v>
          </cell>
          <cell r="E82">
            <v>0</v>
          </cell>
          <cell r="F82">
            <v>0</v>
          </cell>
          <cell r="AM82">
            <v>0</v>
          </cell>
          <cell r="AN82">
            <v>0</v>
          </cell>
        </row>
        <row r="83">
          <cell r="D83">
            <v>205</v>
          </cell>
          <cell r="E83">
            <v>0</v>
          </cell>
          <cell r="F83">
            <v>0</v>
          </cell>
          <cell r="AM83">
            <v>0</v>
          </cell>
          <cell r="AN83">
            <v>0</v>
          </cell>
        </row>
        <row r="84">
          <cell r="D84">
            <v>2344</v>
          </cell>
          <cell r="E84">
            <v>0</v>
          </cell>
          <cell r="F84">
            <v>0</v>
          </cell>
          <cell r="AM84">
            <v>0</v>
          </cell>
          <cell r="AN84">
            <v>0</v>
          </cell>
        </row>
        <row r="85">
          <cell r="D85">
            <v>4</v>
          </cell>
          <cell r="E85">
            <v>0</v>
          </cell>
          <cell r="F85">
            <v>0</v>
          </cell>
          <cell r="AM85">
            <v>0</v>
          </cell>
          <cell r="AN85">
            <v>0</v>
          </cell>
        </row>
        <row r="86">
          <cell r="D86">
            <v>24</v>
          </cell>
          <cell r="E86">
            <v>0</v>
          </cell>
          <cell r="F86">
            <v>0</v>
          </cell>
          <cell r="AM86">
            <v>0</v>
          </cell>
          <cell r="AN86">
            <v>0</v>
          </cell>
        </row>
        <row r="87">
          <cell r="D87">
            <v>58</v>
          </cell>
          <cell r="E87">
            <v>0</v>
          </cell>
          <cell r="F87">
            <v>0</v>
          </cell>
          <cell r="AM87">
            <v>0</v>
          </cell>
          <cell r="AN87">
            <v>0</v>
          </cell>
        </row>
        <row r="88">
          <cell r="D88">
            <v>191.7</v>
          </cell>
          <cell r="E88">
            <v>0</v>
          </cell>
          <cell r="F88">
            <v>0</v>
          </cell>
          <cell r="AM88">
            <v>0</v>
          </cell>
          <cell r="AN88">
            <v>0</v>
          </cell>
        </row>
        <row r="89">
          <cell r="D89">
            <v>65.3</v>
          </cell>
          <cell r="E89">
            <v>0</v>
          </cell>
          <cell r="F89">
            <v>0</v>
          </cell>
          <cell r="AM89">
            <v>0</v>
          </cell>
          <cell r="AN89">
            <v>0</v>
          </cell>
        </row>
        <row r="90">
          <cell r="D90">
            <v>1578</v>
          </cell>
          <cell r="E90">
            <v>0</v>
          </cell>
          <cell r="F90">
            <v>0</v>
          </cell>
          <cell r="AM90">
            <v>0</v>
          </cell>
          <cell r="AN90">
            <v>0</v>
          </cell>
        </row>
        <row r="91">
          <cell r="D91">
            <v>544</v>
          </cell>
          <cell r="E91">
            <v>0</v>
          </cell>
          <cell r="F91">
            <v>0</v>
          </cell>
          <cell r="AM91">
            <v>0</v>
          </cell>
          <cell r="AN91">
            <v>0</v>
          </cell>
        </row>
        <row r="92">
          <cell r="D92">
            <v>1</v>
          </cell>
          <cell r="E92">
            <v>0</v>
          </cell>
          <cell r="F92">
            <v>0</v>
          </cell>
          <cell r="AM92">
            <v>0</v>
          </cell>
          <cell r="AN92">
            <v>0</v>
          </cell>
        </row>
        <row r="93">
          <cell r="D93">
            <v>1</v>
          </cell>
          <cell r="E93">
            <v>0</v>
          </cell>
          <cell r="F93">
            <v>0</v>
          </cell>
          <cell r="AM93">
            <v>0</v>
          </cell>
          <cell r="AN93">
            <v>0</v>
          </cell>
        </row>
        <row r="94">
          <cell r="D94">
            <v>1</v>
          </cell>
          <cell r="E94">
            <v>0</v>
          </cell>
          <cell r="F94">
            <v>0</v>
          </cell>
          <cell r="AM94">
            <v>0</v>
          </cell>
          <cell r="AN94">
            <v>0</v>
          </cell>
        </row>
        <row r="95">
          <cell r="D95">
            <v>1</v>
          </cell>
          <cell r="E95">
            <v>0.02</v>
          </cell>
          <cell r="F95">
            <v>0.02</v>
          </cell>
          <cell r="AM95">
            <v>0</v>
          </cell>
          <cell r="AN95">
            <v>0</v>
          </cell>
        </row>
        <row r="96">
          <cell r="D96">
            <v>2</v>
          </cell>
          <cell r="E96">
            <v>0</v>
          </cell>
          <cell r="F96">
            <v>0</v>
          </cell>
          <cell r="AM96">
            <v>0</v>
          </cell>
          <cell r="AN96">
            <v>0</v>
          </cell>
        </row>
        <row r="97">
          <cell r="D97">
            <v>4</v>
          </cell>
          <cell r="E97">
            <v>0</v>
          </cell>
          <cell r="F97">
            <v>0</v>
          </cell>
          <cell r="AM97">
            <v>0</v>
          </cell>
          <cell r="AN97">
            <v>0</v>
          </cell>
        </row>
        <row r="98">
          <cell r="D98">
            <v>9</v>
          </cell>
          <cell r="E98">
            <v>0</v>
          </cell>
          <cell r="F98">
            <v>0</v>
          </cell>
          <cell r="AM98">
            <v>0</v>
          </cell>
          <cell r="AN98">
            <v>0</v>
          </cell>
        </row>
        <row r="99">
          <cell r="D99">
            <v>12</v>
          </cell>
          <cell r="E99">
            <v>0</v>
          </cell>
          <cell r="F99">
            <v>0</v>
          </cell>
          <cell r="AM99">
            <v>0</v>
          </cell>
          <cell r="AN99">
            <v>0</v>
          </cell>
        </row>
        <row r="100">
          <cell r="D100">
            <v>3</v>
          </cell>
          <cell r="E100">
            <v>0</v>
          </cell>
          <cell r="F100">
            <v>0</v>
          </cell>
          <cell r="AM100">
            <v>0</v>
          </cell>
          <cell r="AN100">
            <v>0</v>
          </cell>
        </row>
        <row r="101">
          <cell r="D101">
            <v>700</v>
          </cell>
          <cell r="E101">
            <v>0</v>
          </cell>
          <cell r="F101">
            <v>0</v>
          </cell>
          <cell r="AM101">
            <v>0</v>
          </cell>
          <cell r="AN101">
            <v>0</v>
          </cell>
        </row>
        <row r="102">
          <cell r="D102">
            <v>630</v>
          </cell>
          <cell r="E102">
            <v>0</v>
          </cell>
          <cell r="F102">
            <v>0</v>
          </cell>
          <cell r="AM102">
            <v>0</v>
          </cell>
          <cell r="AN102">
            <v>0</v>
          </cell>
        </row>
        <row r="103">
          <cell r="D103">
            <v>515</v>
          </cell>
          <cell r="E103">
            <v>0</v>
          </cell>
          <cell r="F103">
            <v>0</v>
          </cell>
          <cell r="AM103">
            <v>0</v>
          </cell>
          <cell r="AN103">
            <v>0</v>
          </cell>
        </row>
        <row r="104">
          <cell r="E104">
            <v>0</v>
          </cell>
          <cell r="AM104">
            <v>0</v>
          </cell>
          <cell r="AN104">
            <v>0</v>
          </cell>
        </row>
        <row r="105">
          <cell r="D105">
            <v>1095</v>
          </cell>
          <cell r="E105">
            <v>0</v>
          </cell>
          <cell r="F105">
            <v>0</v>
          </cell>
          <cell r="AM105">
            <v>0</v>
          </cell>
          <cell r="AN105">
            <v>0</v>
          </cell>
        </row>
        <row r="106">
          <cell r="D106">
            <v>1220</v>
          </cell>
          <cell r="E106">
            <v>0</v>
          </cell>
          <cell r="F106">
            <v>0</v>
          </cell>
          <cell r="AM106">
            <v>0</v>
          </cell>
          <cell r="AN106">
            <v>0</v>
          </cell>
        </row>
        <row r="107">
          <cell r="D107">
            <v>70</v>
          </cell>
          <cell r="E107">
            <v>0</v>
          </cell>
          <cell r="F107">
            <v>0</v>
          </cell>
          <cell r="AM107">
            <v>0</v>
          </cell>
          <cell r="AN107">
            <v>0</v>
          </cell>
        </row>
        <row r="108">
          <cell r="D108">
            <v>9</v>
          </cell>
          <cell r="E108">
            <v>0</v>
          </cell>
          <cell r="F108">
            <v>0</v>
          </cell>
          <cell r="AM108">
            <v>0</v>
          </cell>
          <cell r="AN108">
            <v>0</v>
          </cell>
        </row>
        <row r="109">
          <cell r="D109">
            <v>15</v>
          </cell>
          <cell r="E109">
            <v>0</v>
          </cell>
          <cell r="F109">
            <v>0</v>
          </cell>
          <cell r="AM109">
            <v>0</v>
          </cell>
          <cell r="AN109">
            <v>0</v>
          </cell>
        </row>
        <row r="110">
          <cell r="D110">
            <v>4</v>
          </cell>
          <cell r="E110">
            <v>0</v>
          </cell>
          <cell r="F110">
            <v>0</v>
          </cell>
          <cell r="AM110">
            <v>0</v>
          </cell>
          <cell r="AN110">
            <v>0</v>
          </cell>
        </row>
        <row r="111">
          <cell r="D111">
            <v>56</v>
          </cell>
          <cell r="E111">
            <v>0</v>
          </cell>
          <cell r="F111">
            <v>0</v>
          </cell>
          <cell r="AM111">
            <v>0</v>
          </cell>
          <cell r="AN111">
            <v>0</v>
          </cell>
        </row>
        <row r="112">
          <cell r="D112">
            <v>68</v>
          </cell>
          <cell r="E112">
            <v>0</v>
          </cell>
          <cell r="F112">
            <v>0</v>
          </cell>
          <cell r="AM112">
            <v>0</v>
          </cell>
          <cell r="AN112">
            <v>0</v>
          </cell>
        </row>
        <row r="113">
          <cell r="D113">
            <v>100</v>
          </cell>
          <cell r="E113">
            <v>0</v>
          </cell>
          <cell r="F113">
            <v>0</v>
          </cell>
          <cell r="AM113">
            <v>0</v>
          </cell>
          <cell r="AN113">
            <v>0</v>
          </cell>
        </row>
        <row r="114">
          <cell r="D114">
            <v>19260</v>
          </cell>
          <cell r="E114">
            <v>0</v>
          </cell>
          <cell r="F114">
            <v>0</v>
          </cell>
          <cell r="AM114">
            <v>0</v>
          </cell>
          <cell r="AN114">
            <v>0</v>
          </cell>
        </row>
        <row r="115">
          <cell r="D115">
            <v>2618</v>
          </cell>
          <cell r="E115">
            <v>0</v>
          </cell>
          <cell r="F115">
            <v>0</v>
          </cell>
          <cell r="AM115">
            <v>0</v>
          </cell>
          <cell r="AN115">
            <v>0</v>
          </cell>
        </row>
        <row r="116">
          <cell r="D116">
            <v>214</v>
          </cell>
          <cell r="E116">
            <v>0</v>
          </cell>
          <cell r="F116">
            <v>0</v>
          </cell>
          <cell r="AM116">
            <v>0</v>
          </cell>
          <cell r="AN116">
            <v>0</v>
          </cell>
        </row>
        <row r="117">
          <cell r="D117">
            <v>1199</v>
          </cell>
          <cell r="E117">
            <v>0</v>
          </cell>
          <cell r="F117">
            <v>0</v>
          </cell>
          <cell r="AM117">
            <v>0</v>
          </cell>
          <cell r="AN117">
            <v>0</v>
          </cell>
        </row>
        <row r="118">
          <cell r="D118">
            <v>214</v>
          </cell>
          <cell r="E118">
            <v>0</v>
          </cell>
          <cell r="F118">
            <v>0</v>
          </cell>
          <cell r="AM118">
            <v>0</v>
          </cell>
          <cell r="AN118">
            <v>0</v>
          </cell>
        </row>
        <row r="119">
          <cell r="D119">
            <v>1420</v>
          </cell>
          <cell r="E119">
            <v>0</v>
          </cell>
          <cell r="F119">
            <v>0</v>
          </cell>
          <cell r="AM119">
            <v>0</v>
          </cell>
          <cell r="AN119">
            <v>0</v>
          </cell>
        </row>
        <row r="120">
          <cell r="D120">
            <v>2</v>
          </cell>
          <cell r="E120">
            <v>0</v>
          </cell>
          <cell r="F120">
            <v>0</v>
          </cell>
          <cell r="AM120">
            <v>0</v>
          </cell>
          <cell r="AN120">
            <v>0</v>
          </cell>
        </row>
        <row r="121">
          <cell r="D121">
            <v>1</v>
          </cell>
          <cell r="E121">
            <v>0</v>
          </cell>
          <cell r="F121">
            <v>0</v>
          </cell>
          <cell r="AM121">
            <v>0</v>
          </cell>
          <cell r="AN121">
            <v>0</v>
          </cell>
        </row>
        <row r="122">
          <cell r="D122">
            <v>1</v>
          </cell>
          <cell r="E122">
            <v>0</v>
          </cell>
          <cell r="F122">
            <v>0</v>
          </cell>
          <cell r="AM122">
            <v>0</v>
          </cell>
          <cell r="AN122">
            <v>0</v>
          </cell>
        </row>
        <row r="123">
          <cell r="D123">
            <v>5665</v>
          </cell>
          <cell r="E123">
            <v>0</v>
          </cell>
          <cell r="F123">
            <v>0</v>
          </cell>
          <cell r="AM123">
            <v>0</v>
          </cell>
          <cell r="AN123">
            <v>0</v>
          </cell>
        </row>
        <row r="124">
          <cell r="D124">
            <v>5665</v>
          </cell>
          <cell r="E124">
            <v>1000</v>
          </cell>
          <cell r="F124">
            <v>1000</v>
          </cell>
          <cell r="AM124">
            <v>0</v>
          </cell>
          <cell r="AN124">
            <v>0</v>
          </cell>
        </row>
        <row r="125">
          <cell r="D125">
            <v>11</v>
          </cell>
          <cell r="E125">
            <v>0</v>
          </cell>
          <cell r="F125">
            <v>0</v>
          </cell>
          <cell r="AM125">
            <v>0</v>
          </cell>
          <cell r="AN125">
            <v>0</v>
          </cell>
        </row>
        <row r="126">
          <cell r="D126">
            <v>11</v>
          </cell>
          <cell r="E126">
            <v>0</v>
          </cell>
          <cell r="F126">
            <v>0</v>
          </cell>
          <cell r="AM126">
            <v>0</v>
          </cell>
          <cell r="AN126">
            <v>0</v>
          </cell>
        </row>
        <row r="127">
          <cell r="D127">
            <v>7</v>
          </cell>
          <cell r="E127">
            <v>0</v>
          </cell>
          <cell r="F127">
            <v>0</v>
          </cell>
          <cell r="AM127">
            <v>0</v>
          </cell>
          <cell r="AN127">
            <v>0</v>
          </cell>
        </row>
        <row r="128">
          <cell r="D128">
            <v>7</v>
          </cell>
          <cell r="E128">
            <v>0</v>
          </cell>
          <cell r="F128">
            <v>0</v>
          </cell>
          <cell r="AM128">
            <v>0</v>
          </cell>
          <cell r="AN128">
            <v>0</v>
          </cell>
        </row>
        <row r="129">
          <cell r="D129">
            <v>1</v>
          </cell>
          <cell r="E129">
            <v>0</v>
          </cell>
          <cell r="F129">
            <v>0</v>
          </cell>
          <cell r="AM129">
            <v>0</v>
          </cell>
          <cell r="AN129">
            <v>0</v>
          </cell>
        </row>
        <row r="130">
          <cell r="D130">
            <v>1</v>
          </cell>
          <cell r="E130">
            <v>0</v>
          </cell>
          <cell r="F130">
            <v>0</v>
          </cell>
          <cell r="AM130">
            <v>0</v>
          </cell>
          <cell r="AN130">
            <v>0</v>
          </cell>
        </row>
        <row r="131">
          <cell r="D131">
            <v>10</v>
          </cell>
          <cell r="E131">
            <v>0</v>
          </cell>
          <cell r="F131">
            <v>0</v>
          </cell>
          <cell r="AM131">
            <v>0</v>
          </cell>
          <cell r="AN131">
            <v>0</v>
          </cell>
        </row>
        <row r="132">
          <cell r="D132">
            <v>1</v>
          </cell>
          <cell r="E132">
            <v>0</v>
          </cell>
          <cell r="F132">
            <v>0</v>
          </cell>
          <cell r="AM132">
            <v>0</v>
          </cell>
          <cell r="AN132">
            <v>0</v>
          </cell>
        </row>
        <row r="133">
          <cell r="D133">
            <v>1</v>
          </cell>
          <cell r="E133">
            <v>0</v>
          </cell>
          <cell r="F133">
            <v>0</v>
          </cell>
          <cell r="AM133">
            <v>0</v>
          </cell>
          <cell r="AN133">
            <v>0</v>
          </cell>
        </row>
        <row r="134">
          <cell r="D134">
            <v>1</v>
          </cell>
          <cell r="E134">
            <v>0.97000000000000008</v>
          </cell>
          <cell r="F134">
            <v>0.97000000000000008</v>
          </cell>
          <cell r="AM134">
            <v>0</v>
          </cell>
          <cell r="AN134">
            <v>0</v>
          </cell>
        </row>
        <row r="135">
          <cell r="E135">
            <v>0</v>
          </cell>
          <cell r="AM135">
            <v>0</v>
          </cell>
          <cell r="AN135">
            <v>0</v>
          </cell>
        </row>
        <row r="136">
          <cell r="D136">
            <v>10</v>
          </cell>
          <cell r="E136">
            <v>0</v>
          </cell>
          <cell r="F136">
            <v>0</v>
          </cell>
          <cell r="AM136">
            <v>0</v>
          </cell>
          <cell r="AN136">
            <v>0</v>
          </cell>
        </row>
        <row r="137">
          <cell r="D137">
            <v>2</v>
          </cell>
          <cell r="E137">
            <v>0</v>
          </cell>
          <cell r="F137">
            <v>0</v>
          </cell>
          <cell r="AM137">
            <v>0</v>
          </cell>
          <cell r="AN137">
            <v>0</v>
          </cell>
        </row>
        <row r="138">
          <cell r="D138">
            <v>3</v>
          </cell>
          <cell r="E138">
            <v>0</v>
          </cell>
          <cell r="F138">
            <v>0</v>
          </cell>
          <cell r="AM138">
            <v>0</v>
          </cell>
          <cell r="AN138">
            <v>0</v>
          </cell>
        </row>
        <row r="139">
          <cell r="D139">
            <v>14</v>
          </cell>
          <cell r="E139">
            <v>0</v>
          </cell>
          <cell r="F139">
            <v>0</v>
          </cell>
          <cell r="AM139">
            <v>0</v>
          </cell>
          <cell r="AN139">
            <v>0</v>
          </cell>
        </row>
        <row r="140">
          <cell r="D140">
            <v>2</v>
          </cell>
          <cell r="E140">
            <v>0</v>
          </cell>
          <cell r="F140">
            <v>0</v>
          </cell>
          <cell r="AM140">
            <v>0</v>
          </cell>
          <cell r="AN140">
            <v>0</v>
          </cell>
        </row>
        <row r="141">
          <cell r="D141">
            <v>10</v>
          </cell>
          <cell r="E141">
            <v>0</v>
          </cell>
          <cell r="F141">
            <v>0</v>
          </cell>
          <cell r="AM141">
            <v>0</v>
          </cell>
          <cell r="AN141">
            <v>0</v>
          </cell>
        </row>
        <row r="142">
          <cell r="D142">
            <v>113</v>
          </cell>
          <cell r="E142">
            <v>0</v>
          </cell>
          <cell r="F142">
            <v>0</v>
          </cell>
          <cell r="AM142">
            <v>0</v>
          </cell>
          <cell r="AN142">
            <v>0</v>
          </cell>
        </row>
        <row r="143">
          <cell r="D143">
            <v>1</v>
          </cell>
          <cell r="E143">
            <v>0</v>
          </cell>
          <cell r="F143">
            <v>0</v>
          </cell>
          <cell r="AM143">
            <v>0</v>
          </cell>
          <cell r="AN143">
            <v>0</v>
          </cell>
        </row>
        <row r="144">
          <cell r="D144">
            <v>9</v>
          </cell>
          <cell r="E144">
            <v>0</v>
          </cell>
          <cell r="F144">
            <v>0</v>
          </cell>
          <cell r="AM144">
            <v>0</v>
          </cell>
          <cell r="AN144">
            <v>0</v>
          </cell>
        </row>
        <row r="145">
          <cell r="D145">
            <v>1</v>
          </cell>
          <cell r="E145">
            <v>0</v>
          </cell>
          <cell r="F145">
            <v>0</v>
          </cell>
          <cell r="AM145">
            <v>0</v>
          </cell>
          <cell r="AN145">
            <v>0</v>
          </cell>
        </row>
        <row r="146">
          <cell r="D146">
            <v>1</v>
          </cell>
          <cell r="E146">
            <v>0</v>
          </cell>
          <cell r="F146">
            <v>0</v>
          </cell>
          <cell r="AM146">
            <v>0</v>
          </cell>
          <cell r="AN146">
            <v>0</v>
          </cell>
        </row>
        <row r="147">
          <cell r="D147">
            <v>28</v>
          </cell>
          <cell r="E147">
            <v>0</v>
          </cell>
          <cell r="F147">
            <v>0</v>
          </cell>
          <cell r="AM147">
            <v>0</v>
          </cell>
          <cell r="AN147">
            <v>0</v>
          </cell>
        </row>
        <row r="148">
          <cell r="D148">
            <v>96</v>
          </cell>
          <cell r="E148">
            <v>0</v>
          </cell>
          <cell r="F148">
            <v>0</v>
          </cell>
          <cell r="AM148">
            <v>0</v>
          </cell>
          <cell r="AN148">
            <v>0</v>
          </cell>
        </row>
        <row r="149">
          <cell r="D149">
            <v>17</v>
          </cell>
          <cell r="E149">
            <v>0</v>
          </cell>
          <cell r="F149">
            <v>0</v>
          </cell>
          <cell r="AM149">
            <v>0</v>
          </cell>
          <cell r="AN149">
            <v>0</v>
          </cell>
        </row>
        <row r="150">
          <cell r="D150">
            <v>462</v>
          </cell>
          <cell r="E150">
            <v>0</v>
          </cell>
          <cell r="F150">
            <v>0</v>
          </cell>
          <cell r="AM150">
            <v>0</v>
          </cell>
          <cell r="AN150">
            <v>0</v>
          </cell>
        </row>
        <row r="151">
          <cell r="D151">
            <v>3097</v>
          </cell>
          <cell r="E151">
            <v>0</v>
          </cell>
          <cell r="F151">
            <v>0</v>
          </cell>
          <cell r="AM151">
            <v>0</v>
          </cell>
          <cell r="AN151">
            <v>0</v>
          </cell>
        </row>
        <row r="152">
          <cell r="D152">
            <v>77</v>
          </cell>
          <cell r="E152">
            <v>0</v>
          </cell>
          <cell r="F152">
            <v>0</v>
          </cell>
          <cell r="AM152">
            <v>0</v>
          </cell>
          <cell r="AN152">
            <v>0</v>
          </cell>
        </row>
        <row r="153">
          <cell r="D153">
            <v>84</v>
          </cell>
          <cell r="E153">
            <v>0</v>
          </cell>
          <cell r="F153">
            <v>0</v>
          </cell>
          <cell r="AM153">
            <v>0</v>
          </cell>
          <cell r="AN153">
            <v>0</v>
          </cell>
        </row>
        <row r="154">
          <cell r="D154">
            <v>756</v>
          </cell>
          <cell r="E154">
            <v>0</v>
          </cell>
          <cell r="F154">
            <v>0</v>
          </cell>
          <cell r="AM154">
            <v>0</v>
          </cell>
          <cell r="AN154">
            <v>0</v>
          </cell>
        </row>
        <row r="155">
          <cell r="D155">
            <v>2420</v>
          </cell>
          <cell r="E155">
            <v>0</v>
          </cell>
          <cell r="F155">
            <v>0</v>
          </cell>
          <cell r="AM155">
            <v>0</v>
          </cell>
          <cell r="AN155">
            <v>0</v>
          </cell>
        </row>
        <row r="156">
          <cell r="D156">
            <v>4114</v>
          </cell>
          <cell r="E156">
            <v>0</v>
          </cell>
          <cell r="F156">
            <v>0</v>
          </cell>
          <cell r="AM156">
            <v>0</v>
          </cell>
          <cell r="AN156">
            <v>0</v>
          </cell>
        </row>
        <row r="157">
          <cell r="D157">
            <v>480</v>
          </cell>
          <cell r="E157">
            <v>0</v>
          </cell>
          <cell r="F157">
            <v>0</v>
          </cell>
          <cell r="AM157">
            <v>0</v>
          </cell>
          <cell r="AN157">
            <v>0</v>
          </cell>
        </row>
        <row r="158">
          <cell r="D158">
            <v>135</v>
          </cell>
          <cell r="E158">
            <v>0</v>
          </cell>
          <cell r="F158">
            <v>0</v>
          </cell>
          <cell r="AM158">
            <v>0</v>
          </cell>
          <cell r="AN158">
            <v>0</v>
          </cell>
        </row>
        <row r="159">
          <cell r="D159">
            <v>2392</v>
          </cell>
          <cell r="E159">
            <v>0</v>
          </cell>
          <cell r="F159">
            <v>0</v>
          </cell>
          <cell r="AM159">
            <v>0</v>
          </cell>
          <cell r="AN159">
            <v>0</v>
          </cell>
        </row>
        <row r="160">
          <cell r="D160">
            <v>4426</v>
          </cell>
          <cell r="E160">
            <v>0</v>
          </cell>
          <cell r="F160">
            <v>0</v>
          </cell>
          <cell r="AM160">
            <v>0</v>
          </cell>
          <cell r="AN160">
            <v>0</v>
          </cell>
        </row>
        <row r="161">
          <cell r="D161">
            <v>9460</v>
          </cell>
          <cell r="E161">
            <v>0</v>
          </cell>
          <cell r="F161">
            <v>0</v>
          </cell>
          <cell r="AM161">
            <v>0</v>
          </cell>
          <cell r="AN161">
            <v>0</v>
          </cell>
        </row>
        <row r="162">
          <cell r="E162">
            <v>0</v>
          </cell>
          <cell r="AM162">
            <v>0</v>
          </cell>
          <cell r="AN162">
            <v>0</v>
          </cell>
        </row>
        <row r="163">
          <cell r="D163">
            <v>27089</v>
          </cell>
          <cell r="E163">
            <v>0</v>
          </cell>
          <cell r="F163">
            <v>0</v>
          </cell>
          <cell r="AM163">
            <v>0</v>
          </cell>
          <cell r="AN163">
            <v>0</v>
          </cell>
        </row>
        <row r="164">
          <cell r="E164">
            <v>0</v>
          </cell>
          <cell r="AM164">
            <v>0</v>
          </cell>
          <cell r="AN164">
            <v>0</v>
          </cell>
        </row>
        <row r="165">
          <cell r="D165">
            <v>1266</v>
          </cell>
          <cell r="E165">
            <v>0</v>
          </cell>
          <cell r="F165">
            <v>0</v>
          </cell>
          <cell r="AM165">
            <v>0</v>
          </cell>
          <cell r="AN165">
            <v>0</v>
          </cell>
        </row>
        <row r="166">
          <cell r="E166">
            <v>0</v>
          </cell>
          <cell r="AM166">
            <v>0</v>
          </cell>
          <cell r="AN166">
            <v>0</v>
          </cell>
        </row>
        <row r="167">
          <cell r="D167">
            <v>60</v>
          </cell>
          <cell r="E167">
            <v>47</v>
          </cell>
          <cell r="F167">
            <v>47</v>
          </cell>
          <cell r="AM167">
            <v>0</v>
          </cell>
          <cell r="AN167">
            <v>0</v>
          </cell>
        </row>
        <row r="168">
          <cell r="D168">
            <v>1250</v>
          </cell>
          <cell r="E168">
            <v>191</v>
          </cell>
          <cell r="F168">
            <v>191</v>
          </cell>
          <cell r="AM168">
            <v>0</v>
          </cell>
          <cell r="AN168">
            <v>0</v>
          </cell>
        </row>
        <row r="169">
          <cell r="D169">
            <v>1200</v>
          </cell>
          <cell r="E169">
            <v>0</v>
          </cell>
          <cell r="F169">
            <v>0</v>
          </cell>
          <cell r="AM169">
            <v>0</v>
          </cell>
          <cell r="AN169">
            <v>0</v>
          </cell>
        </row>
        <row r="170">
          <cell r="D170">
            <v>780</v>
          </cell>
          <cell r="E170">
            <v>162.80000000000001</v>
          </cell>
          <cell r="F170">
            <v>163</v>
          </cell>
          <cell r="AM170">
            <v>0</v>
          </cell>
          <cell r="AN170">
            <v>0</v>
          </cell>
        </row>
        <row r="171">
          <cell r="D171">
            <v>1</v>
          </cell>
          <cell r="E171">
            <v>0</v>
          </cell>
          <cell r="F171">
            <v>0</v>
          </cell>
          <cell r="AM171">
            <v>0</v>
          </cell>
          <cell r="AN171">
            <v>0</v>
          </cell>
        </row>
        <row r="172">
          <cell r="D172">
            <v>1</v>
          </cell>
          <cell r="E172">
            <v>0</v>
          </cell>
          <cell r="F172">
            <v>0</v>
          </cell>
          <cell r="AM172">
            <v>0</v>
          </cell>
          <cell r="AN172">
            <v>0</v>
          </cell>
        </row>
        <row r="173">
          <cell r="D173">
            <v>1</v>
          </cell>
          <cell r="E173">
            <v>0.45369999999999994</v>
          </cell>
          <cell r="F173">
            <v>0.45369999999999994</v>
          </cell>
          <cell r="U173">
            <v>3.3599999999999998E-2</v>
          </cell>
          <cell r="AM173">
            <v>3.3599999999999998E-2</v>
          </cell>
          <cell r="AN173">
            <v>0</v>
          </cell>
        </row>
        <row r="174">
          <cell r="D174">
            <v>1</v>
          </cell>
          <cell r="E174">
            <v>0.39460000000000001</v>
          </cell>
          <cell r="F174">
            <v>0.39460000000000001</v>
          </cell>
          <cell r="U174">
            <v>3.3599999999999998E-2</v>
          </cell>
          <cell r="AM174">
            <v>3.3599999999999998E-2</v>
          </cell>
          <cell r="AN174">
            <v>0</v>
          </cell>
        </row>
        <row r="175">
          <cell r="D175">
            <v>1143</v>
          </cell>
          <cell r="E175">
            <v>1145</v>
          </cell>
          <cell r="F175">
            <v>1145</v>
          </cell>
          <cell r="AM175">
            <v>0</v>
          </cell>
          <cell r="AN175">
            <v>0</v>
          </cell>
        </row>
        <row r="176">
          <cell r="E176">
            <v>0</v>
          </cell>
          <cell r="U176">
            <v>0</v>
          </cell>
          <cell r="AM176">
            <v>0</v>
          </cell>
          <cell r="AN176">
            <v>0</v>
          </cell>
        </row>
        <row r="177">
          <cell r="D177">
            <v>1</v>
          </cell>
          <cell r="E177">
            <v>0.45369999999999994</v>
          </cell>
          <cell r="F177">
            <v>0.45369999999999994</v>
          </cell>
          <cell r="U177">
            <v>3.3599999999999998E-2</v>
          </cell>
          <cell r="AM177">
            <v>3.3599999999999998E-2</v>
          </cell>
          <cell r="AN177">
            <v>0</v>
          </cell>
        </row>
        <row r="178">
          <cell r="E178">
            <v>0</v>
          </cell>
          <cell r="AM178">
            <v>0</v>
          </cell>
          <cell r="AN178">
            <v>0</v>
          </cell>
        </row>
        <row r="179">
          <cell r="D179">
            <v>1</v>
          </cell>
          <cell r="E179">
            <v>0.45369999999999994</v>
          </cell>
          <cell r="F179">
            <v>0.45369999999999994</v>
          </cell>
          <cell r="U179">
            <v>3.3599999999999998E-2</v>
          </cell>
          <cell r="AM179">
            <v>3.3599999999999998E-2</v>
          </cell>
          <cell r="AN179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輸入"/>
      <sheetName val="A1"/>
      <sheetName val="A2"/>
      <sheetName val="A3"/>
      <sheetName val="A4"/>
      <sheetName val="A5"/>
      <sheetName val="Sheet4"/>
      <sheetName val="申請單"/>
      <sheetName val="申請報告表"/>
      <sheetName val="澆置紀錄表"/>
      <sheetName val="施工日期及數量統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鋼筋總表"/>
      <sheetName val="橋台輸入"/>
      <sheetName val="橋台鋼筋"/>
      <sheetName val="橋台其他"/>
      <sheetName val="梁輸入"/>
      <sheetName val="梁其他"/>
      <sheetName val="梁鋼筋"/>
      <sheetName val="進橋版輸入"/>
      <sheetName val="進橋版鋼筋"/>
      <sheetName val="進橋版其他"/>
      <sheetName val="Modu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G2">
            <v>9.1</v>
          </cell>
        </row>
        <row r="5">
          <cell r="G5">
            <v>0.6</v>
          </cell>
        </row>
        <row r="8">
          <cell r="G8">
            <v>5.4</v>
          </cell>
        </row>
        <row r="9">
          <cell r="G9">
            <v>0.75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薪資BAK"/>
      <sheetName val="勞健保BAK"/>
      <sheetName val="廚工及翻譯"/>
      <sheetName val="薪資DEMO (2)"/>
      <sheetName val="薪資DEMO (3)"/>
      <sheetName val="測量"/>
      <sheetName val="路工"/>
      <sheetName val="橋工"/>
      <sheetName val="安衛"/>
      <sheetName val="排水"/>
      <sheetName val="Demo"/>
      <sheetName val="薪資DEMO"/>
      <sheetName val="勞保DEMO"/>
      <sheetName val="健保DEMO"/>
      <sheetName val="MAIN"/>
      <sheetName val="AA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下構</v>
          </cell>
          <cell r="F3">
            <v>28229</v>
          </cell>
        </row>
        <row r="4">
          <cell r="A4" t="str">
            <v>下構</v>
          </cell>
          <cell r="F4">
            <v>25026</v>
          </cell>
        </row>
        <row r="5">
          <cell r="A5" t="str">
            <v>下構</v>
          </cell>
          <cell r="F5">
            <v>22916</v>
          </cell>
        </row>
        <row r="6">
          <cell r="A6" t="str">
            <v>下構</v>
          </cell>
          <cell r="F6">
            <v>28902</v>
          </cell>
        </row>
        <row r="7">
          <cell r="A7" t="str">
            <v>下構</v>
          </cell>
          <cell r="F7">
            <v>30146</v>
          </cell>
        </row>
        <row r="8">
          <cell r="A8" t="str">
            <v>下構</v>
          </cell>
          <cell r="F8">
            <v>26853</v>
          </cell>
        </row>
        <row r="9">
          <cell r="A9" t="str">
            <v>下構</v>
          </cell>
          <cell r="F9">
            <v>13454</v>
          </cell>
        </row>
        <row r="10">
          <cell r="A10" t="str">
            <v>下構</v>
          </cell>
          <cell r="F10">
            <v>25318</v>
          </cell>
        </row>
        <row r="11">
          <cell r="A11" t="str">
            <v>下構</v>
          </cell>
          <cell r="F11">
            <v>28058</v>
          </cell>
        </row>
        <row r="12">
          <cell r="A12" t="str">
            <v>下構</v>
          </cell>
          <cell r="F12">
            <v>26069</v>
          </cell>
        </row>
        <row r="13">
          <cell r="A13" t="str">
            <v>下構</v>
          </cell>
          <cell r="F13">
            <v>24554</v>
          </cell>
        </row>
        <row r="14">
          <cell r="A14" t="str">
            <v>下構</v>
          </cell>
          <cell r="F14">
            <v>28797</v>
          </cell>
        </row>
        <row r="15">
          <cell r="A15" t="str">
            <v>下構</v>
          </cell>
          <cell r="F15">
            <v>28414</v>
          </cell>
        </row>
        <row r="16">
          <cell r="A16" t="str">
            <v>下構</v>
          </cell>
          <cell r="F16">
            <v>21620</v>
          </cell>
        </row>
        <row r="17">
          <cell r="A17" t="str">
            <v>下構</v>
          </cell>
          <cell r="F17">
            <v>26588</v>
          </cell>
        </row>
        <row r="18">
          <cell r="A18" t="str">
            <v>下構</v>
          </cell>
          <cell r="F18">
            <v>30363</v>
          </cell>
        </row>
        <row r="19">
          <cell r="A19" t="str">
            <v>下構</v>
          </cell>
          <cell r="F19">
            <v>27292</v>
          </cell>
        </row>
        <row r="20">
          <cell r="A20" t="str">
            <v>下構</v>
          </cell>
          <cell r="F20">
            <v>27921</v>
          </cell>
        </row>
        <row r="21">
          <cell r="A21" t="str">
            <v>下構</v>
          </cell>
          <cell r="F21">
            <v>15178</v>
          </cell>
        </row>
        <row r="22">
          <cell r="A22" t="str">
            <v>下構</v>
          </cell>
          <cell r="F22">
            <v>26022</v>
          </cell>
        </row>
        <row r="23">
          <cell r="A23" t="str">
            <v>下構</v>
          </cell>
          <cell r="F23">
            <v>25737</v>
          </cell>
        </row>
        <row r="24">
          <cell r="A24" t="str">
            <v>下構小計</v>
          </cell>
          <cell r="F24">
            <v>565192</v>
          </cell>
        </row>
        <row r="25">
          <cell r="A25" t="str">
            <v>柱頭節塊</v>
          </cell>
          <cell r="F25">
            <v>22385</v>
          </cell>
        </row>
        <row r="26">
          <cell r="A26" t="str">
            <v>柱頭節塊</v>
          </cell>
          <cell r="F26">
            <v>15639</v>
          </cell>
        </row>
        <row r="27">
          <cell r="A27" t="str">
            <v>柱頭節塊</v>
          </cell>
          <cell r="F27">
            <v>18010</v>
          </cell>
        </row>
        <row r="28">
          <cell r="A28" t="str">
            <v>柱頭節塊</v>
          </cell>
          <cell r="F28">
            <v>25209</v>
          </cell>
        </row>
        <row r="29">
          <cell r="A29" t="str">
            <v>柱頭節塊</v>
          </cell>
          <cell r="F29">
            <v>18175</v>
          </cell>
        </row>
        <row r="30">
          <cell r="A30" t="str">
            <v>柱頭節塊</v>
          </cell>
          <cell r="F30">
            <v>26022</v>
          </cell>
        </row>
        <row r="31">
          <cell r="A31" t="str">
            <v>柱頭節塊</v>
          </cell>
          <cell r="F31">
            <v>21849</v>
          </cell>
        </row>
        <row r="32">
          <cell r="A32" t="str">
            <v>柱頭節塊</v>
          </cell>
          <cell r="F32">
            <v>19338</v>
          </cell>
        </row>
        <row r="33">
          <cell r="A33" t="str">
            <v>柱頭節塊</v>
          </cell>
          <cell r="F33">
            <v>27558</v>
          </cell>
        </row>
        <row r="34">
          <cell r="A34" t="str">
            <v>柱頭節塊</v>
          </cell>
          <cell r="F34">
            <v>18008</v>
          </cell>
        </row>
        <row r="35">
          <cell r="A35" t="str">
            <v>柱頭節塊</v>
          </cell>
          <cell r="F35">
            <v>20547</v>
          </cell>
        </row>
        <row r="36">
          <cell r="A36" t="str">
            <v>柱頭節塊</v>
          </cell>
          <cell r="F36">
            <v>25360</v>
          </cell>
        </row>
        <row r="37">
          <cell r="A37" t="str">
            <v>柱頭節塊</v>
          </cell>
          <cell r="F37">
            <v>16747</v>
          </cell>
        </row>
        <row r="38">
          <cell r="A38" t="str">
            <v>柱頭節塊</v>
          </cell>
          <cell r="F38">
            <v>24674</v>
          </cell>
        </row>
        <row r="39">
          <cell r="A39" t="str">
            <v>柱頭節塊</v>
          </cell>
          <cell r="F39">
            <v>26618</v>
          </cell>
        </row>
        <row r="40">
          <cell r="A40" t="str">
            <v>柱頭節塊</v>
          </cell>
          <cell r="F40">
            <v>24626</v>
          </cell>
        </row>
        <row r="41">
          <cell r="A41" t="str">
            <v>柱頭節塊</v>
          </cell>
          <cell r="F41">
            <v>26318</v>
          </cell>
        </row>
        <row r="42">
          <cell r="A42" t="str">
            <v>柱頭節塊</v>
          </cell>
          <cell r="F42">
            <v>26637</v>
          </cell>
        </row>
        <row r="43">
          <cell r="A43" t="str">
            <v>柱頭節塊</v>
          </cell>
          <cell r="F43">
            <v>25714</v>
          </cell>
        </row>
        <row r="44">
          <cell r="A44" t="str">
            <v>柱頭節塊</v>
          </cell>
          <cell r="F44">
            <v>27032</v>
          </cell>
        </row>
        <row r="45">
          <cell r="A45" t="str">
            <v>柱頭節塊</v>
          </cell>
          <cell r="F45">
            <v>26875</v>
          </cell>
        </row>
        <row r="46">
          <cell r="A46" t="str">
            <v>柱頭節塊</v>
          </cell>
          <cell r="F46">
            <v>24884</v>
          </cell>
        </row>
        <row r="47">
          <cell r="A47" t="str">
            <v>柱頭節塊</v>
          </cell>
          <cell r="F47">
            <v>22102</v>
          </cell>
        </row>
        <row r="48">
          <cell r="A48" t="str">
            <v>柱頭節塊</v>
          </cell>
          <cell r="F48">
            <v>15682</v>
          </cell>
        </row>
        <row r="49">
          <cell r="A49" t="str">
            <v>柱頭節塊</v>
          </cell>
          <cell r="F49">
            <v>28326</v>
          </cell>
        </row>
        <row r="50">
          <cell r="A50" t="str">
            <v>柱頭節塊</v>
          </cell>
          <cell r="F50">
            <v>15682</v>
          </cell>
        </row>
        <row r="51">
          <cell r="A51" t="str">
            <v>柱頭節塊</v>
          </cell>
          <cell r="F51">
            <v>26966</v>
          </cell>
        </row>
        <row r="52">
          <cell r="A52" t="str">
            <v>柱頭節塊</v>
          </cell>
          <cell r="F52">
            <v>23391</v>
          </cell>
        </row>
        <row r="53">
          <cell r="A53" t="str">
            <v>柱頭節塊</v>
          </cell>
          <cell r="F53">
            <v>26153</v>
          </cell>
        </row>
        <row r="54">
          <cell r="A54" t="str">
            <v>柱頭節塊</v>
          </cell>
          <cell r="F54">
            <v>26572</v>
          </cell>
        </row>
        <row r="55">
          <cell r="A55" t="str">
            <v>柱頭節塊</v>
          </cell>
          <cell r="F55">
            <v>27755</v>
          </cell>
        </row>
        <row r="56">
          <cell r="A56" t="str">
            <v>柱頭節塊</v>
          </cell>
          <cell r="F56">
            <v>21665</v>
          </cell>
        </row>
        <row r="57">
          <cell r="A57" t="str">
            <v>柱頭節塊</v>
          </cell>
          <cell r="F57">
            <v>27360</v>
          </cell>
        </row>
        <row r="58">
          <cell r="A58" t="str">
            <v>柱頭節塊</v>
          </cell>
          <cell r="F58">
            <v>18538</v>
          </cell>
        </row>
        <row r="59">
          <cell r="A59" t="str">
            <v>柱頭節塊</v>
          </cell>
          <cell r="F59">
            <v>27295</v>
          </cell>
        </row>
        <row r="60">
          <cell r="A60" t="str">
            <v>柱頭節塊</v>
          </cell>
          <cell r="F60">
            <v>27449</v>
          </cell>
        </row>
        <row r="61">
          <cell r="A61" t="str">
            <v>柱頭節塊小計</v>
          </cell>
          <cell r="F61">
            <v>843161</v>
          </cell>
        </row>
        <row r="62">
          <cell r="A62" t="str">
            <v>測量</v>
          </cell>
          <cell r="F62">
            <v>17390</v>
          </cell>
        </row>
        <row r="63">
          <cell r="A63" t="str">
            <v>測量</v>
          </cell>
          <cell r="F63">
            <v>27735</v>
          </cell>
        </row>
        <row r="64">
          <cell r="A64" t="str">
            <v>測量</v>
          </cell>
          <cell r="F64">
            <v>23427</v>
          </cell>
        </row>
        <row r="65">
          <cell r="A65" t="str">
            <v>測量</v>
          </cell>
          <cell r="F65">
            <v>29634</v>
          </cell>
        </row>
        <row r="66">
          <cell r="A66" t="str">
            <v>測量</v>
          </cell>
          <cell r="F66">
            <v>33104</v>
          </cell>
        </row>
        <row r="67">
          <cell r="A67" t="str">
            <v>測量</v>
          </cell>
          <cell r="F67">
            <v>27786</v>
          </cell>
        </row>
        <row r="68">
          <cell r="A68" t="str">
            <v>測量</v>
          </cell>
          <cell r="F68">
            <v>20982</v>
          </cell>
        </row>
        <row r="69">
          <cell r="A69" t="str">
            <v>測量</v>
          </cell>
          <cell r="F69">
            <v>27735</v>
          </cell>
        </row>
        <row r="70">
          <cell r="A70" t="str">
            <v>測量小計</v>
          </cell>
          <cell r="F70">
            <v>207793</v>
          </cell>
        </row>
        <row r="71">
          <cell r="A71" t="str">
            <v>預鑄場</v>
          </cell>
          <cell r="F71">
            <v>25224</v>
          </cell>
        </row>
        <row r="72">
          <cell r="A72" t="str">
            <v>預鑄場</v>
          </cell>
          <cell r="F72">
            <v>17876</v>
          </cell>
        </row>
        <row r="73">
          <cell r="A73" t="str">
            <v>預鑄場</v>
          </cell>
          <cell r="F73">
            <v>22680</v>
          </cell>
        </row>
        <row r="74">
          <cell r="A74" t="str">
            <v>預鑄場</v>
          </cell>
          <cell r="F74">
            <v>28459</v>
          </cell>
        </row>
        <row r="75">
          <cell r="A75" t="str">
            <v>預鑄場</v>
          </cell>
          <cell r="F75">
            <v>32611</v>
          </cell>
        </row>
        <row r="76">
          <cell r="A76" t="str">
            <v>預鑄場</v>
          </cell>
          <cell r="F76">
            <v>35520</v>
          </cell>
        </row>
        <row r="77">
          <cell r="A77" t="str">
            <v>預鑄場</v>
          </cell>
          <cell r="F77">
            <v>27371</v>
          </cell>
        </row>
        <row r="78">
          <cell r="A78" t="str">
            <v>預鑄場</v>
          </cell>
          <cell r="F78">
            <v>23908</v>
          </cell>
        </row>
        <row r="79">
          <cell r="A79" t="str">
            <v>預鑄場</v>
          </cell>
          <cell r="F79">
            <v>25826</v>
          </cell>
        </row>
        <row r="80">
          <cell r="A80" t="str">
            <v>預鑄場</v>
          </cell>
          <cell r="F80">
            <v>31062</v>
          </cell>
        </row>
        <row r="81">
          <cell r="A81" t="str">
            <v>預鑄場</v>
          </cell>
          <cell r="F81">
            <v>35366</v>
          </cell>
        </row>
        <row r="82">
          <cell r="A82" t="str">
            <v>預鑄場</v>
          </cell>
          <cell r="F82">
            <v>21891</v>
          </cell>
        </row>
        <row r="83">
          <cell r="A83" t="str">
            <v>預鑄場</v>
          </cell>
          <cell r="F83">
            <v>25394</v>
          </cell>
        </row>
        <row r="84">
          <cell r="A84" t="str">
            <v>預鑄場</v>
          </cell>
          <cell r="F84">
            <v>35177</v>
          </cell>
        </row>
        <row r="85">
          <cell r="A85" t="str">
            <v>預鑄場</v>
          </cell>
          <cell r="F85">
            <v>31810</v>
          </cell>
        </row>
        <row r="86">
          <cell r="A86" t="str">
            <v>預鑄場</v>
          </cell>
          <cell r="F86">
            <v>33155</v>
          </cell>
        </row>
        <row r="87">
          <cell r="A87" t="str">
            <v>預鑄場</v>
          </cell>
          <cell r="F87">
            <v>31540</v>
          </cell>
        </row>
        <row r="88">
          <cell r="A88" t="str">
            <v>預鑄場</v>
          </cell>
          <cell r="F88">
            <v>26178</v>
          </cell>
        </row>
        <row r="89">
          <cell r="A89" t="str">
            <v>預鑄場</v>
          </cell>
          <cell r="F89">
            <v>35357</v>
          </cell>
        </row>
        <row r="90">
          <cell r="A90" t="str">
            <v>預鑄場</v>
          </cell>
          <cell r="F90">
            <v>29367</v>
          </cell>
        </row>
        <row r="91">
          <cell r="A91" t="str">
            <v>預鑄場</v>
          </cell>
          <cell r="F91">
            <v>31223</v>
          </cell>
        </row>
        <row r="92">
          <cell r="A92" t="str">
            <v>預鑄場</v>
          </cell>
          <cell r="F92">
            <v>25942</v>
          </cell>
        </row>
        <row r="93">
          <cell r="A93" t="str">
            <v>預鑄場</v>
          </cell>
          <cell r="F93">
            <v>19276</v>
          </cell>
        </row>
        <row r="94">
          <cell r="A94" t="str">
            <v>預鑄場</v>
          </cell>
          <cell r="F94">
            <v>24894</v>
          </cell>
        </row>
        <row r="95">
          <cell r="A95" t="str">
            <v>預鑄場</v>
          </cell>
          <cell r="F95">
            <v>25192</v>
          </cell>
        </row>
        <row r="96">
          <cell r="A96" t="str">
            <v>預鑄場</v>
          </cell>
          <cell r="F96">
            <v>22607</v>
          </cell>
        </row>
        <row r="97">
          <cell r="A97" t="str">
            <v>預鑄場</v>
          </cell>
          <cell r="F97">
            <v>22607</v>
          </cell>
        </row>
        <row r="98">
          <cell r="A98" t="str">
            <v>預鑄場</v>
          </cell>
          <cell r="F98">
            <v>25709</v>
          </cell>
        </row>
        <row r="99">
          <cell r="A99" t="str">
            <v>預鑄場</v>
          </cell>
          <cell r="F99">
            <v>25709</v>
          </cell>
        </row>
        <row r="100">
          <cell r="A100" t="str">
            <v>預鑄場</v>
          </cell>
          <cell r="F100">
            <v>29795</v>
          </cell>
        </row>
        <row r="101">
          <cell r="A101" t="str">
            <v>預鑄場</v>
          </cell>
          <cell r="F101">
            <v>0</v>
          </cell>
        </row>
        <row r="102">
          <cell r="A102" t="str">
            <v>預鑄場</v>
          </cell>
          <cell r="F102">
            <v>26039</v>
          </cell>
        </row>
        <row r="103">
          <cell r="A103" t="str">
            <v>預鑄場</v>
          </cell>
          <cell r="F103">
            <v>29143</v>
          </cell>
        </row>
        <row r="104">
          <cell r="A104" t="str">
            <v>預鑄場</v>
          </cell>
          <cell r="F104">
            <v>26022</v>
          </cell>
        </row>
        <row r="105">
          <cell r="A105" t="str">
            <v>預鑄場</v>
          </cell>
          <cell r="F105">
            <v>27895</v>
          </cell>
        </row>
        <row r="106">
          <cell r="A106" t="str">
            <v>預鑄場</v>
          </cell>
          <cell r="F106">
            <v>21745</v>
          </cell>
        </row>
        <row r="107">
          <cell r="A107" t="str">
            <v>預鑄場</v>
          </cell>
          <cell r="F107">
            <v>26354</v>
          </cell>
        </row>
        <row r="108">
          <cell r="A108" t="str">
            <v>預鑄場</v>
          </cell>
          <cell r="F108">
            <v>32611</v>
          </cell>
        </row>
        <row r="109">
          <cell r="A109" t="str">
            <v>預鑄場</v>
          </cell>
          <cell r="F109">
            <v>25446</v>
          </cell>
        </row>
        <row r="110">
          <cell r="A110" t="str">
            <v>預鑄場</v>
          </cell>
          <cell r="F110">
            <v>21724</v>
          </cell>
        </row>
        <row r="111">
          <cell r="A111" t="str">
            <v>預鑄場</v>
          </cell>
          <cell r="F111">
            <v>19245</v>
          </cell>
        </row>
        <row r="112">
          <cell r="A112" t="str">
            <v>預鑄場</v>
          </cell>
          <cell r="F112">
            <v>25604</v>
          </cell>
        </row>
        <row r="113">
          <cell r="A113" t="str">
            <v>預鑄場</v>
          </cell>
          <cell r="F113">
            <v>29407</v>
          </cell>
        </row>
        <row r="114">
          <cell r="A114" t="str">
            <v>預鑄場</v>
          </cell>
          <cell r="F114">
            <v>20511</v>
          </cell>
        </row>
        <row r="115">
          <cell r="A115" t="str">
            <v>預鑄場</v>
          </cell>
          <cell r="F115">
            <v>24597</v>
          </cell>
        </row>
        <row r="116">
          <cell r="A116" t="str">
            <v>預鑄場</v>
          </cell>
          <cell r="F116">
            <v>27629</v>
          </cell>
        </row>
        <row r="117">
          <cell r="A117" t="str">
            <v>預鑄場</v>
          </cell>
          <cell r="F117">
            <v>30583</v>
          </cell>
        </row>
        <row r="118">
          <cell r="A118" t="str">
            <v>預鑄場</v>
          </cell>
          <cell r="F118">
            <v>17667</v>
          </cell>
        </row>
        <row r="119">
          <cell r="A119" t="str">
            <v>預鑄場</v>
          </cell>
          <cell r="F119">
            <v>20037</v>
          </cell>
        </row>
        <row r="120">
          <cell r="A120" t="str">
            <v>預鑄場</v>
          </cell>
          <cell r="F120">
            <v>26022</v>
          </cell>
        </row>
        <row r="121">
          <cell r="A121" t="str">
            <v>預鑄場</v>
          </cell>
          <cell r="F121">
            <v>27617</v>
          </cell>
        </row>
        <row r="122">
          <cell r="A122" t="str">
            <v>預鑄場</v>
          </cell>
          <cell r="F122">
            <v>27884</v>
          </cell>
        </row>
        <row r="123">
          <cell r="A123" t="str">
            <v>預鑄場</v>
          </cell>
          <cell r="F123">
            <v>35357</v>
          </cell>
        </row>
        <row r="124">
          <cell r="A124" t="str">
            <v>預鑄場</v>
          </cell>
          <cell r="F124">
            <v>32857</v>
          </cell>
        </row>
        <row r="125">
          <cell r="A125" t="str">
            <v>預鑄場</v>
          </cell>
          <cell r="F125">
            <v>27921</v>
          </cell>
        </row>
        <row r="126">
          <cell r="A126" t="str">
            <v>預鑄場</v>
          </cell>
          <cell r="F126">
            <v>27417</v>
          </cell>
        </row>
        <row r="127">
          <cell r="A127" t="str">
            <v>預鑄場</v>
          </cell>
          <cell r="F127">
            <v>32857</v>
          </cell>
        </row>
        <row r="128">
          <cell r="A128" t="str">
            <v>預鑄場</v>
          </cell>
          <cell r="F128">
            <v>26109</v>
          </cell>
        </row>
        <row r="129">
          <cell r="A129" t="str">
            <v>預鑄場</v>
          </cell>
          <cell r="F129">
            <v>24050</v>
          </cell>
        </row>
        <row r="130">
          <cell r="A130" t="str">
            <v>預鑄場</v>
          </cell>
          <cell r="F130">
            <v>13647</v>
          </cell>
        </row>
        <row r="131">
          <cell r="A131" t="str">
            <v>預鑄場</v>
          </cell>
          <cell r="F131">
            <v>15902</v>
          </cell>
        </row>
        <row r="132">
          <cell r="A132" t="str">
            <v>預鑄場小計</v>
          </cell>
          <cell r="F132">
            <v>1598625</v>
          </cell>
        </row>
        <row r="133">
          <cell r="A133" t="str">
            <v>煒榮</v>
          </cell>
          <cell r="F133">
            <v>15906</v>
          </cell>
        </row>
        <row r="134">
          <cell r="A134" t="str">
            <v>煒榮</v>
          </cell>
          <cell r="F134">
            <v>17640</v>
          </cell>
        </row>
        <row r="135">
          <cell r="A135" t="str">
            <v>煒榮</v>
          </cell>
          <cell r="F135">
            <v>18333</v>
          </cell>
        </row>
        <row r="136">
          <cell r="A136" t="str">
            <v>煒榮</v>
          </cell>
          <cell r="F136">
            <v>17169</v>
          </cell>
        </row>
        <row r="137">
          <cell r="A137" t="str">
            <v>煒榮</v>
          </cell>
          <cell r="F137">
            <v>17640</v>
          </cell>
        </row>
        <row r="138">
          <cell r="A138" t="str">
            <v>煒榮</v>
          </cell>
          <cell r="F138">
            <v>11486</v>
          </cell>
        </row>
        <row r="139">
          <cell r="A139" t="str">
            <v>煒榮</v>
          </cell>
          <cell r="F139">
            <v>17640</v>
          </cell>
        </row>
        <row r="140">
          <cell r="A140" t="str">
            <v>煒榮</v>
          </cell>
          <cell r="F140">
            <v>18168</v>
          </cell>
        </row>
        <row r="141">
          <cell r="A141" t="str">
            <v>煒榮</v>
          </cell>
          <cell r="F141">
            <v>17904</v>
          </cell>
        </row>
        <row r="142">
          <cell r="A142" t="str">
            <v>煒榮</v>
          </cell>
          <cell r="F142">
            <v>18168</v>
          </cell>
        </row>
        <row r="143">
          <cell r="A143" t="str">
            <v>煒榮小計</v>
          </cell>
          <cell r="F143">
            <v>170054</v>
          </cell>
        </row>
        <row r="144">
          <cell r="A144" t="str">
            <v>賢聚</v>
          </cell>
          <cell r="F144">
            <v>23459</v>
          </cell>
        </row>
        <row r="145">
          <cell r="A145" t="str">
            <v>賢聚</v>
          </cell>
          <cell r="F145">
            <v>17640</v>
          </cell>
        </row>
        <row r="146">
          <cell r="A146" t="str">
            <v>賢聚</v>
          </cell>
          <cell r="F146">
            <v>17800</v>
          </cell>
        </row>
        <row r="147">
          <cell r="A147" t="str">
            <v>賢聚</v>
          </cell>
          <cell r="F147">
            <v>17640</v>
          </cell>
        </row>
        <row r="148">
          <cell r="A148" t="str">
            <v>賢聚</v>
          </cell>
          <cell r="F148">
            <v>17640</v>
          </cell>
        </row>
        <row r="149">
          <cell r="A149" t="str">
            <v>賢聚</v>
          </cell>
          <cell r="F149">
            <v>17800</v>
          </cell>
        </row>
        <row r="150">
          <cell r="A150" t="str">
            <v>賢聚</v>
          </cell>
          <cell r="F150">
            <v>17640</v>
          </cell>
        </row>
        <row r="151">
          <cell r="A151" t="str">
            <v>賢聚</v>
          </cell>
          <cell r="F151">
            <v>12009</v>
          </cell>
        </row>
        <row r="152">
          <cell r="A152" t="str">
            <v>賢聚</v>
          </cell>
          <cell r="F152">
            <v>17800</v>
          </cell>
        </row>
        <row r="153">
          <cell r="A153" t="str">
            <v>賢聚</v>
          </cell>
          <cell r="F153">
            <v>17640</v>
          </cell>
        </row>
        <row r="154">
          <cell r="A154" t="str">
            <v>賢聚</v>
          </cell>
          <cell r="F154">
            <v>17640</v>
          </cell>
        </row>
      </sheetData>
      <sheetData sheetId="13">
        <row r="6">
          <cell r="B6" t="e">
            <v>#REF!</v>
          </cell>
          <cell r="C6" t="e">
            <v>#REF!</v>
          </cell>
          <cell r="D6" t="e">
            <v>#REF!</v>
          </cell>
          <cell r="E6">
            <v>30</v>
          </cell>
          <cell r="F6">
            <v>30</v>
          </cell>
          <cell r="G6" t="str">
            <v>3月份</v>
          </cell>
          <cell r="H6" t="e">
            <v>#REF!</v>
          </cell>
          <cell r="I6" t="e">
            <v>#REF!</v>
          </cell>
          <cell r="J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>
            <v>30</v>
          </cell>
          <cell r="F7">
            <v>30</v>
          </cell>
          <cell r="G7" t="str">
            <v>3月份</v>
          </cell>
          <cell r="H7" t="e">
            <v>#REF!</v>
          </cell>
          <cell r="I7" t="e">
            <v>#REF!</v>
          </cell>
          <cell r="J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>
            <v>30</v>
          </cell>
          <cell r="F8">
            <v>30</v>
          </cell>
          <cell r="G8" t="str">
            <v>3月份</v>
          </cell>
          <cell r="H8" t="e">
            <v>#REF!</v>
          </cell>
          <cell r="I8" t="e">
            <v>#REF!</v>
          </cell>
          <cell r="J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>
            <v>30</v>
          </cell>
          <cell r="F9">
            <v>30</v>
          </cell>
          <cell r="G9" t="str">
            <v>3月份</v>
          </cell>
          <cell r="H9" t="e">
            <v>#REF!</v>
          </cell>
          <cell r="I9" t="e">
            <v>#REF!</v>
          </cell>
          <cell r="J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>
            <v>30</v>
          </cell>
          <cell r="F10">
            <v>30</v>
          </cell>
          <cell r="G10" t="str">
            <v>3月份</v>
          </cell>
          <cell r="H10" t="e">
            <v>#REF!</v>
          </cell>
          <cell r="I10" t="e">
            <v>#REF!</v>
          </cell>
          <cell r="J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>
            <v>30</v>
          </cell>
          <cell r="F11">
            <v>30</v>
          </cell>
          <cell r="G11" t="str">
            <v>3月份</v>
          </cell>
          <cell r="H11" t="e">
            <v>#REF!</v>
          </cell>
          <cell r="I11" t="e">
            <v>#REF!</v>
          </cell>
          <cell r="J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>
            <v>30</v>
          </cell>
          <cell r="F12">
            <v>30</v>
          </cell>
          <cell r="G12" t="str">
            <v>3月份</v>
          </cell>
          <cell r="H12" t="e">
            <v>#REF!</v>
          </cell>
          <cell r="I12" t="e">
            <v>#REF!</v>
          </cell>
          <cell r="J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>
            <v>30</v>
          </cell>
          <cell r="F13">
            <v>30</v>
          </cell>
          <cell r="G13" t="str">
            <v>3月份</v>
          </cell>
          <cell r="H13" t="e">
            <v>#REF!</v>
          </cell>
          <cell r="I13" t="e">
            <v>#REF!</v>
          </cell>
          <cell r="J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>
            <v>30</v>
          </cell>
          <cell r="F14">
            <v>30</v>
          </cell>
          <cell r="G14" t="str">
            <v>3月份</v>
          </cell>
          <cell r="H14" t="e">
            <v>#REF!</v>
          </cell>
          <cell r="I14" t="e">
            <v>#REF!</v>
          </cell>
          <cell r="J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>
            <v>30</v>
          </cell>
          <cell r="F15">
            <v>30</v>
          </cell>
          <cell r="G15" t="str">
            <v>3月份</v>
          </cell>
          <cell r="H15" t="e">
            <v>#REF!</v>
          </cell>
          <cell r="I15" t="e">
            <v>#REF!</v>
          </cell>
          <cell r="J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>
            <v>30</v>
          </cell>
          <cell r="F16">
            <v>30</v>
          </cell>
          <cell r="G16" t="str">
            <v>3月份</v>
          </cell>
          <cell r="H16" t="e">
            <v>#REF!</v>
          </cell>
          <cell r="I16" t="e">
            <v>#REF!</v>
          </cell>
          <cell r="J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>
            <v>30</v>
          </cell>
          <cell r="F17">
            <v>30</v>
          </cell>
          <cell r="G17" t="str">
            <v>3月份</v>
          </cell>
          <cell r="H17" t="e">
            <v>#REF!</v>
          </cell>
          <cell r="I17" t="e">
            <v>#REF!</v>
          </cell>
          <cell r="J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>
            <v>30</v>
          </cell>
          <cell r="F18">
            <v>30</v>
          </cell>
          <cell r="G18" t="str">
            <v>3月份</v>
          </cell>
          <cell r="H18" t="e">
            <v>#REF!</v>
          </cell>
          <cell r="I18" t="e">
            <v>#REF!</v>
          </cell>
          <cell r="J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>
            <v>30</v>
          </cell>
          <cell r="F19">
            <v>30</v>
          </cell>
          <cell r="G19" t="str">
            <v>3月份</v>
          </cell>
          <cell r="H19" t="e">
            <v>#REF!</v>
          </cell>
          <cell r="I19" t="e">
            <v>#REF!</v>
          </cell>
          <cell r="J19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>
            <v>30</v>
          </cell>
          <cell r="F22">
            <v>30</v>
          </cell>
          <cell r="G22" t="str">
            <v>3月份</v>
          </cell>
          <cell r="H22" t="e">
            <v>#REF!</v>
          </cell>
          <cell r="I22" t="e">
            <v>#REF!</v>
          </cell>
          <cell r="J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>
            <v>30</v>
          </cell>
          <cell r="F23">
            <v>30</v>
          </cell>
          <cell r="G23" t="str">
            <v>3月份</v>
          </cell>
          <cell r="H23" t="e">
            <v>#REF!</v>
          </cell>
          <cell r="I23" t="e">
            <v>#REF!</v>
          </cell>
          <cell r="J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>
            <v>30</v>
          </cell>
          <cell r="F24">
            <v>30</v>
          </cell>
          <cell r="G24" t="str">
            <v>3月份</v>
          </cell>
          <cell r="H24" t="e">
            <v>#REF!</v>
          </cell>
          <cell r="I24" t="e">
            <v>#REF!</v>
          </cell>
          <cell r="J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>
            <v>30</v>
          </cell>
          <cell r="F25">
            <v>30</v>
          </cell>
          <cell r="G25" t="str">
            <v>3月份</v>
          </cell>
          <cell r="H25" t="e">
            <v>#REF!</v>
          </cell>
          <cell r="I25" t="e">
            <v>#REF!</v>
          </cell>
          <cell r="J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>
            <v>30</v>
          </cell>
          <cell r="F26">
            <v>30</v>
          </cell>
          <cell r="G26" t="str">
            <v>3月份</v>
          </cell>
          <cell r="H26" t="e">
            <v>#REF!</v>
          </cell>
          <cell r="I26" t="e">
            <v>#REF!</v>
          </cell>
          <cell r="J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>
            <v>30</v>
          </cell>
          <cell r="F27">
            <v>30</v>
          </cell>
          <cell r="G27" t="str">
            <v>3月份</v>
          </cell>
          <cell r="H27" t="e">
            <v>#REF!</v>
          </cell>
          <cell r="I27" t="e">
            <v>#REF!</v>
          </cell>
          <cell r="J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>
            <v>30</v>
          </cell>
          <cell r="F28">
            <v>30</v>
          </cell>
          <cell r="G28" t="str">
            <v>3月份</v>
          </cell>
          <cell r="H28" t="e">
            <v>#REF!</v>
          </cell>
          <cell r="I28" t="e">
            <v>#REF!</v>
          </cell>
          <cell r="J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>
            <v>30</v>
          </cell>
          <cell r="F29">
            <v>30</v>
          </cell>
          <cell r="G29" t="str">
            <v>3月份</v>
          </cell>
          <cell r="H29" t="e">
            <v>#REF!</v>
          </cell>
          <cell r="I29" t="e">
            <v>#REF!</v>
          </cell>
          <cell r="J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>
            <v>30</v>
          </cell>
          <cell r="F30">
            <v>30</v>
          </cell>
          <cell r="G30" t="str">
            <v>3月份</v>
          </cell>
          <cell r="H30" t="e">
            <v>#REF!</v>
          </cell>
          <cell r="I30" t="e">
            <v>#REF!</v>
          </cell>
          <cell r="J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>
            <v>30</v>
          </cell>
          <cell r="F31">
            <v>30</v>
          </cell>
          <cell r="G31" t="str">
            <v>3月份</v>
          </cell>
          <cell r="H31" t="e">
            <v>#REF!</v>
          </cell>
          <cell r="I31" t="e">
            <v>#REF!</v>
          </cell>
          <cell r="J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>
            <v>30</v>
          </cell>
          <cell r="F32">
            <v>30</v>
          </cell>
          <cell r="G32" t="str">
            <v>3月份</v>
          </cell>
          <cell r="H32" t="e">
            <v>#REF!</v>
          </cell>
          <cell r="I32" t="e">
            <v>#REF!</v>
          </cell>
          <cell r="J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>
            <v>30</v>
          </cell>
          <cell r="F33">
            <v>30</v>
          </cell>
          <cell r="G33" t="str">
            <v>3月份</v>
          </cell>
          <cell r="H33" t="e">
            <v>#REF!</v>
          </cell>
          <cell r="I33" t="e">
            <v>#REF!</v>
          </cell>
          <cell r="J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>
            <v>30</v>
          </cell>
          <cell r="F34">
            <v>30</v>
          </cell>
          <cell r="G34" t="str">
            <v>3月份</v>
          </cell>
          <cell r="H34" t="e">
            <v>#REF!</v>
          </cell>
          <cell r="I34" t="e">
            <v>#REF!</v>
          </cell>
          <cell r="J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>
            <v>30</v>
          </cell>
          <cell r="F35">
            <v>30</v>
          </cell>
          <cell r="G35" t="str">
            <v>3月份</v>
          </cell>
          <cell r="H35" t="e">
            <v>#REF!</v>
          </cell>
          <cell r="I35" t="e">
            <v>#REF!</v>
          </cell>
          <cell r="J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>
            <v>30</v>
          </cell>
          <cell r="F36">
            <v>30</v>
          </cell>
          <cell r="G36" t="str">
            <v>3月份</v>
          </cell>
          <cell r="H36" t="e">
            <v>#REF!</v>
          </cell>
          <cell r="I36" t="e">
            <v>#REF!</v>
          </cell>
          <cell r="J36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>
            <v>30</v>
          </cell>
          <cell r="F39">
            <v>30</v>
          </cell>
          <cell r="G39" t="str">
            <v>3月份</v>
          </cell>
          <cell r="H39" t="e">
            <v>#REF!</v>
          </cell>
          <cell r="I39" t="e">
            <v>#REF!</v>
          </cell>
          <cell r="J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>
            <v>30</v>
          </cell>
          <cell r="F40">
            <v>30</v>
          </cell>
          <cell r="G40" t="str">
            <v>3月份</v>
          </cell>
          <cell r="H40" t="e">
            <v>#REF!</v>
          </cell>
          <cell r="I40" t="e">
            <v>#REF!</v>
          </cell>
          <cell r="J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>
            <v>30</v>
          </cell>
          <cell r="F41">
            <v>30</v>
          </cell>
          <cell r="G41" t="str">
            <v>3月份</v>
          </cell>
          <cell r="H41" t="e">
            <v>#REF!</v>
          </cell>
          <cell r="I41" t="e">
            <v>#REF!</v>
          </cell>
          <cell r="J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>
            <v>30</v>
          </cell>
          <cell r="F42">
            <v>30</v>
          </cell>
          <cell r="G42" t="str">
            <v>3月份</v>
          </cell>
          <cell r="H42" t="e">
            <v>#REF!</v>
          </cell>
          <cell r="I42" t="e">
            <v>#REF!</v>
          </cell>
          <cell r="J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>
            <v>30</v>
          </cell>
          <cell r="F43">
            <v>30</v>
          </cell>
          <cell r="G43" t="str">
            <v>3月份</v>
          </cell>
          <cell r="H43" t="e">
            <v>#REF!</v>
          </cell>
          <cell r="I43" t="e">
            <v>#REF!</v>
          </cell>
          <cell r="J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>
            <v>30</v>
          </cell>
          <cell r="F44">
            <v>30</v>
          </cell>
          <cell r="G44" t="str">
            <v>3月份</v>
          </cell>
          <cell r="H44" t="e">
            <v>#REF!</v>
          </cell>
          <cell r="I44" t="e">
            <v>#REF!</v>
          </cell>
          <cell r="J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>
            <v>30</v>
          </cell>
          <cell r="F45">
            <v>30</v>
          </cell>
          <cell r="G45" t="str">
            <v>3月份</v>
          </cell>
          <cell r="H45" t="e">
            <v>#REF!</v>
          </cell>
          <cell r="I45" t="e">
            <v>#REF!</v>
          </cell>
          <cell r="J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>
            <v>30</v>
          </cell>
          <cell r="F46">
            <v>30</v>
          </cell>
          <cell r="G46" t="str">
            <v>3月份</v>
          </cell>
          <cell r="H46" t="e">
            <v>#REF!</v>
          </cell>
          <cell r="I46" t="e">
            <v>#REF!</v>
          </cell>
          <cell r="J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>
            <v>30</v>
          </cell>
          <cell r="F47">
            <v>30</v>
          </cell>
          <cell r="G47" t="str">
            <v>3月份</v>
          </cell>
          <cell r="H47" t="e">
            <v>#REF!</v>
          </cell>
          <cell r="I47" t="e">
            <v>#REF!</v>
          </cell>
          <cell r="J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>
            <v>30</v>
          </cell>
          <cell r="F48">
            <v>30</v>
          </cell>
          <cell r="G48" t="str">
            <v>3月份</v>
          </cell>
          <cell r="H48" t="e">
            <v>#REF!</v>
          </cell>
          <cell r="I48" t="e">
            <v>#REF!</v>
          </cell>
          <cell r="J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>
            <v>30</v>
          </cell>
          <cell r="F49">
            <v>30</v>
          </cell>
          <cell r="G49" t="str">
            <v>3月份</v>
          </cell>
          <cell r="H49" t="e">
            <v>#REF!</v>
          </cell>
          <cell r="I49" t="e">
            <v>#REF!</v>
          </cell>
          <cell r="J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>
            <v>30</v>
          </cell>
          <cell r="F50">
            <v>30</v>
          </cell>
          <cell r="G50" t="str">
            <v>3月份</v>
          </cell>
          <cell r="H50" t="e">
            <v>#REF!</v>
          </cell>
          <cell r="I50" t="e">
            <v>#REF!</v>
          </cell>
          <cell r="J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>
            <v>30</v>
          </cell>
          <cell r="F51">
            <v>30</v>
          </cell>
          <cell r="G51" t="str">
            <v>3月份</v>
          </cell>
          <cell r="H51" t="e">
            <v>#REF!</v>
          </cell>
          <cell r="I51" t="e">
            <v>#REF!</v>
          </cell>
          <cell r="J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>
            <v>30</v>
          </cell>
          <cell r="F52">
            <v>30</v>
          </cell>
          <cell r="G52" t="str">
            <v>3月份</v>
          </cell>
          <cell r="H52" t="e">
            <v>#REF!</v>
          </cell>
          <cell r="I52" t="e">
            <v>#REF!</v>
          </cell>
          <cell r="J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>
            <v>30</v>
          </cell>
          <cell r="F53">
            <v>30</v>
          </cell>
          <cell r="G53" t="str">
            <v>3月份</v>
          </cell>
          <cell r="H53" t="e">
            <v>#REF!</v>
          </cell>
          <cell r="I53" t="e">
            <v>#REF!</v>
          </cell>
          <cell r="J53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>
            <v>30</v>
          </cell>
          <cell r="F56">
            <v>30</v>
          </cell>
          <cell r="G56" t="str">
            <v>3月份</v>
          </cell>
          <cell r="H56" t="e">
            <v>#REF!</v>
          </cell>
          <cell r="I56" t="e">
            <v>#REF!</v>
          </cell>
          <cell r="J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>
            <v>30</v>
          </cell>
          <cell r="F57">
            <v>30</v>
          </cell>
          <cell r="G57" t="str">
            <v>3月份</v>
          </cell>
          <cell r="H57" t="e">
            <v>#REF!</v>
          </cell>
          <cell r="I57" t="e">
            <v>#REF!</v>
          </cell>
          <cell r="J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>
            <v>30</v>
          </cell>
          <cell r="F58">
            <v>30</v>
          </cell>
          <cell r="G58" t="str">
            <v>3月份</v>
          </cell>
          <cell r="H58" t="e">
            <v>#REF!</v>
          </cell>
          <cell r="I58" t="e">
            <v>#REF!</v>
          </cell>
          <cell r="J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>
            <v>30</v>
          </cell>
          <cell r="F59">
            <v>30</v>
          </cell>
          <cell r="G59" t="str">
            <v>3月份</v>
          </cell>
          <cell r="H59" t="e">
            <v>#REF!</v>
          </cell>
          <cell r="I59" t="e">
            <v>#REF!</v>
          </cell>
          <cell r="J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>
            <v>30</v>
          </cell>
          <cell r="F60">
            <v>30</v>
          </cell>
          <cell r="G60" t="str">
            <v>3月份</v>
          </cell>
          <cell r="H60" t="e">
            <v>#REF!</v>
          </cell>
          <cell r="I60" t="e">
            <v>#REF!</v>
          </cell>
          <cell r="J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>
            <v>30</v>
          </cell>
          <cell r="F61">
            <v>30</v>
          </cell>
          <cell r="G61" t="str">
            <v>3月份</v>
          </cell>
          <cell r="H61" t="e">
            <v>#REF!</v>
          </cell>
          <cell r="I61" t="e">
            <v>#REF!</v>
          </cell>
          <cell r="J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>
            <v>30</v>
          </cell>
          <cell r="F62">
            <v>30</v>
          </cell>
          <cell r="G62" t="str">
            <v>3月份</v>
          </cell>
          <cell r="H62" t="e">
            <v>#REF!</v>
          </cell>
          <cell r="I62" t="e">
            <v>#REF!</v>
          </cell>
          <cell r="J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>
            <v>30</v>
          </cell>
          <cell r="F63">
            <v>30</v>
          </cell>
          <cell r="G63" t="str">
            <v>3月份</v>
          </cell>
          <cell r="H63" t="e">
            <v>#REF!</v>
          </cell>
          <cell r="I63" t="e">
            <v>#REF!</v>
          </cell>
          <cell r="J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>
            <v>30</v>
          </cell>
          <cell r="F64">
            <v>30</v>
          </cell>
          <cell r="G64" t="str">
            <v>3月份</v>
          </cell>
          <cell r="H64" t="e">
            <v>#REF!</v>
          </cell>
          <cell r="I64" t="e">
            <v>#REF!</v>
          </cell>
          <cell r="J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>
            <v>30</v>
          </cell>
          <cell r="F65">
            <v>30</v>
          </cell>
          <cell r="G65" t="str">
            <v>3月份</v>
          </cell>
          <cell r="H65" t="e">
            <v>#REF!</v>
          </cell>
          <cell r="I65" t="e">
            <v>#REF!</v>
          </cell>
          <cell r="J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>
            <v>30</v>
          </cell>
          <cell r="F66">
            <v>30</v>
          </cell>
          <cell r="G66" t="str">
            <v>3月份</v>
          </cell>
          <cell r="H66" t="e">
            <v>#REF!</v>
          </cell>
          <cell r="I66" t="e">
            <v>#REF!</v>
          </cell>
          <cell r="J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>
            <v>30</v>
          </cell>
          <cell r="F67">
            <v>30</v>
          </cell>
          <cell r="G67" t="str">
            <v>3月份</v>
          </cell>
          <cell r="H67" t="e">
            <v>#REF!</v>
          </cell>
          <cell r="I67" t="e">
            <v>#REF!</v>
          </cell>
          <cell r="J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>
            <v>30</v>
          </cell>
          <cell r="F68">
            <v>30</v>
          </cell>
          <cell r="G68" t="str">
            <v>3月份</v>
          </cell>
          <cell r="H68" t="e">
            <v>#REF!</v>
          </cell>
          <cell r="I68" t="e">
            <v>#REF!</v>
          </cell>
          <cell r="J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>
            <v>30</v>
          </cell>
          <cell r="F69">
            <v>30</v>
          </cell>
          <cell r="G69" t="str">
            <v>3月份</v>
          </cell>
          <cell r="H69" t="e">
            <v>#REF!</v>
          </cell>
          <cell r="I69" t="e">
            <v>#REF!</v>
          </cell>
          <cell r="J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>
            <v>30</v>
          </cell>
          <cell r="F70">
            <v>30</v>
          </cell>
          <cell r="G70" t="str">
            <v>3月份</v>
          </cell>
          <cell r="H70" t="e">
            <v>#REF!</v>
          </cell>
          <cell r="I70" t="e">
            <v>#REF!</v>
          </cell>
          <cell r="J70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>
            <v>30</v>
          </cell>
          <cell r="F73">
            <v>30</v>
          </cell>
          <cell r="G73" t="str">
            <v>3月份</v>
          </cell>
          <cell r="H73" t="e">
            <v>#REF!</v>
          </cell>
          <cell r="I73" t="e">
            <v>#REF!</v>
          </cell>
          <cell r="J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>
            <v>30</v>
          </cell>
          <cell r="F74">
            <v>30</v>
          </cell>
          <cell r="G74" t="str">
            <v>3月份</v>
          </cell>
          <cell r="H74" t="e">
            <v>#REF!</v>
          </cell>
          <cell r="I74" t="e">
            <v>#REF!</v>
          </cell>
          <cell r="J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>
            <v>30</v>
          </cell>
          <cell r="F75">
            <v>30</v>
          </cell>
          <cell r="G75" t="str">
            <v>3月份</v>
          </cell>
          <cell r="H75" t="e">
            <v>#REF!</v>
          </cell>
          <cell r="I75" t="e">
            <v>#REF!</v>
          </cell>
          <cell r="J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>
            <v>30</v>
          </cell>
          <cell r="F76">
            <v>30</v>
          </cell>
          <cell r="G76" t="str">
            <v>3月份</v>
          </cell>
          <cell r="H76" t="e">
            <v>#REF!</v>
          </cell>
          <cell r="I76" t="e">
            <v>#REF!</v>
          </cell>
          <cell r="J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>
            <v>30</v>
          </cell>
          <cell r="F77">
            <v>30</v>
          </cell>
          <cell r="G77" t="str">
            <v>3月份</v>
          </cell>
          <cell r="H77" t="e">
            <v>#REF!</v>
          </cell>
          <cell r="I77" t="e">
            <v>#REF!</v>
          </cell>
          <cell r="J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>
            <v>30</v>
          </cell>
          <cell r="F78">
            <v>30</v>
          </cell>
          <cell r="G78" t="str">
            <v>3月份</v>
          </cell>
          <cell r="H78" t="e">
            <v>#REF!</v>
          </cell>
          <cell r="I78" t="e">
            <v>#REF!</v>
          </cell>
          <cell r="J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>
            <v>30</v>
          </cell>
          <cell r="F79">
            <v>30</v>
          </cell>
          <cell r="G79" t="str">
            <v>3月份</v>
          </cell>
          <cell r="H79" t="e">
            <v>#REF!</v>
          </cell>
          <cell r="I79" t="e">
            <v>#REF!</v>
          </cell>
          <cell r="J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>
            <v>30</v>
          </cell>
          <cell r="F80">
            <v>30</v>
          </cell>
          <cell r="G80" t="str">
            <v>3月份</v>
          </cell>
          <cell r="H80" t="e">
            <v>#REF!</v>
          </cell>
          <cell r="I80" t="e">
            <v>#REF!</v>
          </cell>
          <cell r="J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>
            <v>30</v>
          </cell>
          <cell r="F81">
            <v>30</v>
          </cell>
          <cell r="G81" t="str">
            <v>3月份</v>
          </cell>
          <cell r="H81" t="e">
            <v>#REF!</v>
          </cell>
          <cell r="I81" t="e">
            <v>#REF!</v>
          </cell>
          <cell r="J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>
            <v>30</v>
          </cell>
          <cell r="F82">
            <v>30</v>
          </cell>
          <cell r="G82" t="str">
            <v>3月份</v>
          </cell>
          <cell r="H82" t="e">
            <v>#REF!</v>
          </cell>
          <cell r="I82" t="e">
            <v>#REF!</v>
          </cell>
          <cell r="J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>
            <v>30</v>
          </cell>
          <cell r="F83">
            <v>30</v>
          </cell>
          <cell r="G83" t="str">
            <v>3月份</v>
          </cell>
          <cell r="H83" t="e">
            <v>#REF!</v>
          </cell>
          <cell r="I83" t="e">
            <v>#REF!</v>
          </cell>
          <cell r="J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>
            <v>30</v>
          </cell>
          <cell r="F84">
            <v>30</v>
          </cell>
          <cell r="G84" t="str">
            <v>3月份</v>
          </cell>
          <cell r="H84" t="e">
            <v>#REF!</v>
          </cell>
          <cell r="I84" t="e">
            <v>#REF!</v>
          </cell>
          <cell r="J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>
            <v>30</v>
          </cell>
          <cell r="F85">
            <v>30</v>
          </cell>
          <cell r="G85" t="str">
            <v>3月份</v>
          </cell>
          <cell r="H85" t="e">
            <v>#REF!</v>
          </cell>
          <cell r="I85" t="e">
            <v>#REF!</v>
          </cell>
          <cell r="J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>
            <v>30</v>
          </cell>
          <cell r="F86">
            <v>30</v>
          </cell>
          <cell r="G86" t="str">
            <v>3月份</v>
          </cell>
          <cell r="H86" t="e">
            <v>#REF!</v>
          </cell>
          <cell r="I86" t="e">
            <v>#REF!</v>
          </cell>
          <cell r="J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>
            <v>30</v>
          </cell>
          <cell r="F87">
            <v>30</v>
          </cell>
          <cell r="G87" t="str">
            <v>3月份</v>
          </cell>
          <cell r="H87" t="e">
            <v>#REF!</v>
          </cell>
          <cell r="I87" t="e">
            <v>#REF!</v>
          </cell>
          <cell r="J87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>
            <v>30</v>
          </cell>
          <cell r="F90">
            <v>30</v>
          </cell>
          <cell r="G90" t="str">
            <v>3月份</v>
          </cell>
          <cell r="H90" t="e">
            <v>#REF!</v>
          </cell>
          <cell r="I90" t="e">
            <v>#REF!</v>
          </cell>
          <cell r="J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>
            <v>30</v>
          </cell>
          <cell r="F91">
            <v>30</v>
          </cell>
          <cell r="G91" t="str">
            <v>3月份</v>
          </cell>
          <cell r="H91" t="e">
            <v>#REF!</v>
          </cell>
          <cell r="I91" t="e">
            <v>#REF!</v>
          </cell>
          <cell r="J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>
            <v>30</v>
          </cell>
          <cell r="F92">
            <v>30</v>
          </cell>
          <cell r="G92" t="str">
            <v>3月份</v>
          </cell>
          <cell r="H92" t="e">
            <v>#REF!</v>
          </cell>
          <cell r="I92" t="e">
            <v>#REF!</v>
          </cell>
          <cell r="J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>
            <v>30</v>
          </cell>
          <cell r="F93">
            <v>30</v>
          </cell>
          <cell r="G93" t="str">
            <v>3月份</v>
          </cell>
          <cell r="H93" t="e">
            <v>#REF!</v>
          </cell>
          <cell r="I93" t="e">
            <v>#REF!</v>
          </cell>
          <cell r="J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>
            <v>30</v>
          </cell>
          <cell r="F94">
            <v>30</v>
          </cell>
          <cell r="G94" t="str">
            <v>3月份</v>
          </cell>
          <cell r="H94" t="e">
            <v>#REF!</v>
          </cell>
          <cell r="I94" t="e">
            <v>#REF!</v>
          </cell>
          <cell r="J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>
            <v>30</v>
          </cell>
          <cell r="F95">
            <v>30</v>
          </cell>
          <cell r="G95" t="str">
            <v>3月份</v>
          </cell>
          <cell r="H95" t="e">
            <v>#REF!</v>
          </cell>
          <cell r="I95" t="e">
            <v>#REF!</v>
          </cell>
          <cell r="J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>
            <v>30</v>
          </cell>
          <cell r="F96">
            <v>30</v>
          </cell>
          <cell r="G96" t="str">
            <v>3月份</v>
          </cell>
          <cell r="H96" t="e">
            <v>#REF!</v>
          </cell>
          <cell r="I96" t="e">
            <v>#REF!</v>
          </cell>
          <cell r="J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>
            <v>30</v>
          </cell>
          <cell r="F97">
            <v>30</v>
          </cell>
          <cell r="G97" t="str">
            <v>3月份</v>
          </cell>
          <cell r="H97" t="e">
            <v>#REF!</v>
          </cell>
          <cell r="I97" t="e">
            <v>#REF!</v>
          </cell>
          <cell r="J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>
            <v>30</v>
          </cell>
          <cell r="F98">
            <v>30</v>
          </cell>
          <cell r="G98" t="str">
            <v>3月份</v>
          </cell>
          <cell r="H98" t="e">
            <v>#REF!</v>
          </cell>
          <cell r="I98" t="e">
            <v>#REF!</v>
          </cell>
          <cell r="J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>
            <v>30</v>
          </cell>
          <cell r="F99">
            <v>30</v>
          </cell>
          <cell r="G99" t="str">
            <v>3月份</v>
          </cell>
          <cell r="H99" t="e">
            <v>#REF!</v>
          </cell>
          <cell r="I99" t="e">
            <v>#REF!</v>
          </cell>
          <cell r="J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>
            <v>30</v>
          </cell>
          <cell r="F100">
            <v>30</v>
          </cell>
          <cell r="G100" t="str">
            <v>3月份</v>
          </cell>
          <cell r="H100" t="e">
            <v>#REF!</v>
          </cell>
          <cell r="I100" t="e">
            <v>#REF!</v>
          </cell>
          <cell r="J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>
            <v>30</v>
          </cell>
          <cell r="F101">
            <v>30</v>
          </cell>
          <cell r="G101" t="str">
            <v>3月份</v>
          </cell>
          <cell r="H101" t="e">
            <v>#REF!</v>
          </cell>
          <cell r="I101" t="e">
            <v>#REF!</v>
          </cell>
          <cell r="J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>
            <v>30</v>
          </cell>
          <cell r="F102">
            <v>30</v>
          </cell>
          <cell r="G102" t="str">
            <v>3月份</v>
          </cell>
          <cell r="H102" t="e">
            <v>#REF!</v>
          </cell>
          <cell r="I102" t="e">
            <v>#REF!</v>
          </cell>
          <cell r="J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>
            <v>30</v>
          </cell>
          <cell r="F103">
            <v>30</v>
          </cell>
          <cell r="G103" t="str">
            <v>3月份</v>
          </cell>
          <cell r="H103" t="e">
            <v>#REF!</v>
          </cell>
          <cell r="I103" t="e">
            <v>#REF!</v>
          </cell>
          <cell r="J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>
            <v>30</v>
          </cell>
          <cell r="F104">
            <v>30</v>
          </cell>
          <cell r="G104" t="str">
            <v>3月份</v>
          </cell>
          <cell r="H104" t="e">
            <v>#REF!</v>
          </cell>
          <cell r="I104" t="e">
            <v>#REF!</v>
          </cell>
          <cell r="J104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>
            <v>30</v>
          </cell>
          <cell r="F107">
            <v>30</v>
          </cell>
          <cell r="G107" t="str">
            <v>3月份</v>
          </cell>
          <cell r="H107" t="e">
            <v>#REF!</v>
          </cell>
          <cell r="I107" t="e">
            <v>#REF!</v>
          </cell>
          <cell r="J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>
            <v>30</v>
          </cell>
          <cell r="F108">
            <v>30</v>
          </cell>
          <cell r="G108" t="str">
            <v>3月份</v>
          </cell>
          <cell r="H108" t="e">
            <v>#REF!</v>
          </cell>
          <cell r="I108" t="e">
            <v>#REF!</v>
          </cell>
          <cell r="J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>
            <v>30</v>
          </cell>
          <cell r="F109">
            <v>30</v>
          </cell>
          <cell r="G109" t="str">
            <v>3月份</v>
          </cell>
          <cell r="H109" t="e">
            <v>#REF!</v>
          </cell>
          <cell r="I109" t="e">
            <v>#REF!</v>
          </cell>
          <cell r="J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>
            <v>30</v>
          </cell>
          <cell r="F110">
            <v>30</v>
          </cell>
          <cell r="G110" t="str">
            <v>3月份</v>
          </cell>
          <cell r="H110" t="e">
            <v>#REF!</v>
          </cell>
          <cell r="I110" t="e">
            <v>#REF!</v>
          </cell>
          <cell r="J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>
            <v>30</v>
          </cell>
          <cell r="F111">
            <v>30</v>
          </cell>
          <cell r="G111" t="str">
            <v>3月份</v>
          </cell>
          <cell r="H111" t="e">
            <v>#REF!</v>
          </cell>
          <cell r="I111" t="e">
            <v>#REF!</v>
          </cell>
          <cell r="J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>
            <v>30</v>
          </cell>
          <cell r="F112">
            <v>30</v>
          </cell>
          <cell r="G112" t="str">
            <v>3月份</v>
          </cell>
          <cell r="H112" t="e">
            <v>#REF!</v>
          </cell>
          <cell r="I112" t="e">
            <v>#REF!</v>
          </cell>
          <cell r="J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>
            <v>30</v>
          </cell>
          <cell r="F113">
            <v>30</v>
          </cell>
          <cell r="G113" t="str">
            <v>3月份</v>
          </cell>
          <cell r="H113" t="e">
            <v>#REF!</v>
          </cell>
          <cell r="I113" t="e">
            <v>#REF!</v>
          </cell>
          <cell r="J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>
            <v>30</v>
          </cell>
          <cell r="F114">
            <v>30</v>
          </cell>
          <cell r="G114" t="str">
            <v>3月份</v>
          </cell>
          <cell r="H114" t="e">
            <v>#REF!</v>
          </cell>
          <cell r="I114" t="e">
            <v>#REF!</v>
          </cell>
          <cell r="J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>
            <v>30</v>
          </cell>
          <cell r="F115">
            <v>30</v>
          </cell>
          <cell r="G115" t="str">
            <v>3月份</v>
          </cell>
          <cell r="H115" t="e">
            <v>#REF!</v>
          </cell>
          <cell r="I115" t="e">
            <v>#REF!</v>
          </cell>
          <cell r="J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>
            <v>30</v>
          </cell>
          <cell r="F116">
            <v>30</v>
          </cell>
          <cell r="G116" t="str">
            <v>3月份</v>
          </cell>
          <cell r="H116" t="e">
            <v>#REF!</v>
          </cell>
          <cell r="I116" t="e">
            <v>#REF!</v>
          </cell>
          <cell r="J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>
            <v>30</v>
          </cell>
          <cell r="F117">
            <v>30</v>
          </cell>
          <cell r="G117" t="str">
            <v>3月份</v>
          </cell>
          <cell r="H117" t="e">
            <v>#REF!</v>
          </cell>
          <cell r="I117" t="e">
            <v>#REF!</v>
          </cell>
          <cell r="J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>
            <v>30</v>
          </cell>
          <cell r="F118">
            <v>30</v>
          </cell>
          <cell r="G118" t="str">
            <v>3月份</v>
          </cell>
          <cell r="H118" t="e">
            <v>#REF!</v>
          </cell>
          <cell r="I118" t="e">
            <v>#REF!</v>
          </cell>
          <cell r="J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>
            <v>30</v>
          </cell>
          <cell r="F119">
            <v>30</v>
          </cell>
          <cell r="G119" t="str">
            <v>3月份</v>
          </cell>
          <cell r="H119" t="e">
            <v>#REF!</v>
          </cell>
          <cell r="I119" t="e">
            <v>#REF!</v>
          </cell>
          <cell r="J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>
            <v>30</v>
          </cell>
          <cell r="F120">
            <v>30</v>
          </cell>
          <cell r="G120" t="str">
            <v>3月份</v>
          </cell>
          <cell r="H120" t="e">
            <v>#REF!</v>
          </cell>
          <cell r="I120" t="e">
            <v>#REF!</v>
          </cell>
          <cell r="J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>
            <v>30</v>
          </cell>
          <cell r="F121">
            <v>30</v>
          </cell>
          <cell r="G121" t="str">
            <v>3月份</v>
          </cell>
          <cell r="H121" t="e">
            <v>#REF!</v>
          </cell>
          <cell r="I121" t="e">
            <v>#REF!</v>
          </cell>
          <cell r="J121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>
            <v>30</v>
          </cell>
          <cell r="F124">
            <v>30</v>
          </cell>
          <cell r="G124" t="str">
            <v>3月份</v>
          </cell>
          <cell r="H124" t="e">
            <v>#REF!</v>
          </cell>
          <cell r="I124" t="e">
            <v>#REF!</v>
          </cell>
          <cell r="J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>
            <v>30</v>
          </cell>
          <cell r="F125">
            <v>30</v>
          </cell>
          <cell r="G125" t="str">
            <v>3月份</v>
          </cell>
          <cell r="H125" t="e">
            <v>#REF!</v>
          </cell>
          <cell r="I125" t="e">
            <v>#REF!</v>
          </cell>
          <cell r="J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>
            <v>30</v>
          </cell>
          <cell r="F126">
            <v>30</v>
          </cell>
          <cell r="G126" t="str">
            <v>3月份</v>
          </cell>
          <cell r="H126" t="e">
            <v>#REF!</v>
          </cell>
          <cell r="I126" t="e">
            <v>#REF!</v>
          </cell>
          <cell r="J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>
            <v>30</v>
          </cell>
          <cell r="F127">
            <v>30</v>
          </cell>
          <cell r="G127" t="str">
            <v>3月份</v>
          </cell>
          <cell r="H127" t="e">
            <v>#REF!</v>
          </cell>
          <cell r="I127" t="e">
            <v>#REF!</v>
          </cell>
          <cell r="J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>
            <v>30</v>
          </cell>
          <cell r="F128">
            <v>30</v>
          </cell>
          <cell r="G128" t="str">
            <v>3月份</v>
          </cell>
          <cell r="H128" t="e">
            <v>#REF!</v>
          </cell>
          <cell r="I128" t="e">
            <v>#REF!</v>
          </cell>
          <cell r="J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>
            <v>30</v>
          </cell>
          <cell r="F129">
            <v>30</v>
          </cell>
          <cell r="G129" t="str">
            <v>3月份</v>
          </cell>
          <cell r="H129" t="e">
            <v>#REF!</v>
          </cell>
          <cell r="I129" t="e">
            <v>#REF!</v>
          </cell>
          <cell r="J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>
            <v>30</v>
          </cell>
          <cell r="F130">
            <v>30</v>
          </cell>
          <cell r="G130" t="str">
            <v>3月份</v>
          </cell>
          <cell r="H130" t="e">
            <v>#REF!</v>
          </cell>
          <cell r="I130" t="e">
            <v>#REF!</v>
          </cell>
          <cell r="J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>
            <v>30</v>
          </cell>
          <cell r="F131">
            <v>30</v>
          </cell>
          <cell r="G131" t="str">
            <v>3月份</v>
          </cell>
          <cell r="H131" t="e">
            <v>#REF!</v>
          </cell>
          <cell r="I131" t="e">
            <v>#REF!</v>
          </cell>
          <cell r="J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>
            <v>30</v>
          </cell>
          <cell r="F132">
            <v>30</v>
          </cell>
          <cell r="G132" t="str">
            <v>3月份</v>
          </cell>
          <cell r="H132" t="e">
            <v>#REF!</v>
          </cell>
          <cell r="I132" t="e">
            <v>#REF!</v>
          </cell>
          <cell r="J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>
            <v>30</v>
          </cell>
          <cell r="F133">
            <v>30</v>
          </cell>
          <cell r="G133" t="str">
            <v>3月份</v>
          </cell>
          <cell r="H133" t="e">
            <v>#REF!</v>
          </cell>
          <cell r="I133" t="e">
            <v>#REF!</v>
          </cell>
          <cell r="J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>
            <v>30</v>
          </cell>
          <cell r="F134">
            <v>30</v>
          </cell>
          <cell r="G134" t="str">
            <v>3月份</v>
          </cell>
          <cell r="H134" t="e">
            <v>#REF!</v>
          </cell>
          <cell r="I134" t="e">
            <v>#REF!</v>
          </cell>
          <cell r="J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>
            <v>30</v>
          </cell>
          <cell r="F135">
            <v>30</v>
          </cell>
          <cell r="G135" t="str">
            <v>3月份</v>
          </cell>
          <cell r="H135" t="e">
            <v>#REF!</v>
          </cell>
          <cell r="I135" t="e">
            <v>#REF!</v>
          </cell>
          <cell r="J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>
            <v>30</v>
          </cell>
          <cell r="F136">
            <v>30</v>
          </cell>
          <cell r="G136" t="str">
            <v>3月份</v>
          </cell>
          <cell r="H136" t="e">
            <v>#REF!</v>
          </cell>
          <cell r="I136" t="e">
            <v>#REF!</v>
          </cell>
          <cell r="J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>
            <v>30</v>
          </cell>
          <cell r="F137">
            <v>30</v>
          </cell>
          <cell r="G137" t="str">
            <v>3月份</v>
          </cell>
          <cell r="H137" t="e">
            <v>#REF!</v>
          </cell>
          <cell r="I137" t="e">
            <v>#REF!</v>
          </cell>
          <cell r="J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>
            <v>30</v>
          </cell>
          <cell r="F138">
            <v>30</v>
          </cell>
          <cell r="G138" t="str">
            <v>3月份</v>
          </cell>
          <cell r="H138" t="e">
            <v>#REF!</v>
          </cell>
          <cell r="I138" t="e">
            <v>#REF!</v>
          </cell>
          <cell r="J138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>
            <v>30</v>
          </cell>
          <cell r="F141">
            <v>30</v>
          </cell>
          <cell r="G141" t="str">
            <v>3月份</v>
          </cell>
          <cell r="H141" t="e">
            <v>#REF!</v>
          </cell>
          <cell r="I141" t="e">
            <v>#REF!</v>
          </cell>
          <cell r="J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>
            <v>30</v>
          </cell>
          <cell r="F142">
            <v>30</v>
          </cell>
          <cell r="G142" t="str">
            <v>3月份</v>
          </cell>
          <cell r="H142" t="e">
            <v>#REF!</v>
          </cell>
          <cell r="I142" t="e">
            <v>#REF!</v>
          </cell>
          <cell r="J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>
            <v>30</v>
          </cell>
          <cell r="F143">
            <v>30</v>
          </cell>
          <cell r="G143" t="str">
            <v>3月份</v>
          </cell>
          <cell r="H143" t="e">
            <v>#REF!</v>
          </cell>
          <cell r="I143" t="e">
            <v>#REF!</v>
          </cell>
          <cell r="J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>
            <v>30</v>
          </cell>
          <cell r="F144">
            <v>30</v>
          </cell>
          <cell r="G144" t="str">
            <v>3月份</v>
          </cell>
          <cell r="H144" t="e">
            <v>#REF!</v>
          </cell>
          <cell r="I144" t="e">
            <v>#REF!</v>
          </cell>
          <cell r="J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>
            <v>30</v>
          </cell>
          <cell r="F145">
            <v>30</v>
          </cell>
          <cell r="G145" t="str">
            <v>3月份</v>
          </cell>
          <cell r="H145" t="e">
            <v>#REF!</v>
          </cell>
          <cell r="I145" t="e">
            <v>#REF!</v>
          </cell>
          <cell r="J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>
            <v>30</v>
          </cell>
          <cell r="F146">
            <v>30</v>
          </cell>
          <cell r="G146" t="str">
            <v>3月份</v>
          </cell>
          <cell r="H146" t="e">
            <v>#REF!</v>
          </cell>
          <cell r="I146" t="e">
            <v>#REF!</v>
          </cell>
          <cell r="J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>
            <v>30</v>
          </cell>
          <cell r="F147">
            <v>30</v>
          </cell>
          <cell r="G147" t="str">
            <v>3月份</v>
          </cell>
          <cell r="H147" t="e">
            <v>#REF!</v>
          </cell>
          <cell r="I147" t="e">
            <v>#REF!</v>
          </cell>
          <cell r="J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>
            <v>30</v>
          </cell>
          <cell r="F148">
            <v>30</v>
          </cell>
          <cell r="G148" t="str">
            <v>3月份</v>
          </cell>
          <cell r="H148" t="e">
            <v>#REF!</v>
          </cell>
          <cell r="I148" t="e">
            <v>#REF!</v>
          </cell>
          <cell r="J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>
            <v>30</v>
          </cell>
          <cell r="F149">
            <v>30</v>
          </cell>
          <cell r="G149" t="str">
            <v>3月份</v>
          </cell>
          <cell r="H149" t="e">
            <v>#REF!</v>
          </cell>
          <cell r="I149" t="e">
            <v>#REF!</v>
          </cell>
          <cell r="J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>
            <v>30</v>
          </cell>
          <cell r="F150">
            <v>30</v>
          </cell>
          <cell r="G150" t="str">
            <v>3月份</v>
          </cell>
          <cell r="H150" t="e">
            <v>#REF!</v>
          </cell>
          <cell r="I150" t="e">
            <v>#REF!</v>
          </cell>
          <cell r="J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>
            <v>30</v>
          </cell>
          <cell r="F151">
            <v>30</v>
          </cell>
          <cell r="G151" t="str">
            <v>3月份</v>
          </cell>
          <cell r="H151" t="e">
            <v>#REF!</v>
          </cell>
          <cell r="I151" t="e">
            <v>#REF!</v>
          </cell>
          <cell r="J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>
            <v>30</v>
          </cell>
          <cell r="F152">
            <v>30</v>
          </cell>
          <cell r="G152" t="str">
            <v>3月份</v>
          </cell>
          <cell r="H152" t="e">
            <v>#REF!</v>
          </cell>
          <cell r="I152" t="e">
            <v>#REF!</v>
          </cell>
          <cell r="J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>
            <v>30</v>
          </cell>
          <cell r="F153">
            <v>30</v>
          </cell>
          <cell r="G153" t="str">
            <v>3月份</v>
          </cell>
          <cell r="H153" t="e">
            <v>#REF!</v>
          </cell>
          <cell r="I153" t="e">
            <v>#REF!</v>
          </cell>
          <cell r="J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>
            <v>30</v>
          </cell>
          <cell r="F154">
            <v>30</v>
          </cell>
          <cell r="G154" t="str">
            <v>3月份</v>
          </cell>
          <cell r="H154" t="e">
            <v>#REF!</v>
          </cell>
          <cell r="I154" t="e">
            <v>#REF!</v>
          </cell>
          <cell r="J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>
            <v>30</v>
          </cell>
          <cell r="F155">
            <v>30</v>
          </cell>
          <cell r="G155" t="str">
            <v>3月份</v>
          </cell>
          <cell r="H155" t="e">
            <v>#REF!</v>
          </cell>
          <cell r="I155" t="e">
            <v>#REF!</v>
          </cell>
          <cell r="J155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>
            <v>30</v>
          </cell>
          <cell r="F158">
            <v>30</v>
          </cell>
          <cell r="G158" t="str">
            <v>3月份</v>
          </cell>
          <cell r="H158" t="e">
            <v>#REF!</v>
          </cell>
          <cell r="I158" t="e">
            <v>#REF!</v>
          </cell>
          <cell r="J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>
            <v>30</v>
          </cell>
          <cell r="F159">
            <v>30</v>
          </cell>
          <cell r="G159" t="str">
            <v>3月份</v>
          </cell>
          <cell r="H159" t="e">
            <v>#REF!</v>
          </cell>
          <cell r="I159" t="e">
            <v>#REF!</v>
          </cell>
          <cell r="J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>
            <v>30</v>
          </cell>
          <cell r="F160">
            <v>30</v>
          </cell>
          <cell r="G160" t="str">
            <v>3月份</v>
          </cell>
          <cell r="H160" t="e">
            <v>#REF!</v>
          </cell>
          <cell r="I160" t="e">
            <v>#REF!</v>
          </cell>
          <cell r="J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>
            <v>30</v>
          </cell>
          <cell r="F161">
            <v>30</v>
          </cell>
          <cell r="G161" t="str">
            <v>3月份</v>
          </cell>
          <cell r="H161" t="e">
            <v>#REF!</v>
          </cell>
          <cell r="I161" t="e">
            <v>#REF!</v>
          </cell>
          <cell r="J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>
            <v>30</v>
          </cell>
          <cell r="F162">
            <v>30</v>
          </cell>
          <cell r="G162" t="str">
            <v>3月份</v>
          </cell>
          <cell r="H162" t="e">
            <v>#REF!</v>
          </cell>
          <cell r="I162" t="e">
            <v>#REF!</v>
          </cell>
          <cell r="J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>
            <v>30</v>
          </cell>
          <cell r="F163">
            <v>30</v>
          </cell>
          <cell r="G163" t="str">
            <v>3月份</v>
          </cell>
          <cell r="H163" t="e">
            <v>#REF!</v>
          </cell>
          <cell r="I163" t="e">
            <v>#REF!</v>
          </cell>
          <cell r="J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>
            <v>30</v>
          </cell>
          <cell r="F164">
            <v>30</v>
          </cell>
          <cell r="G164" t="str">
            <v>3月份</v>
          </cell>
          <cell r="H164" t="e">
            <v>#REF!</v>
          </cell>
          <cell r="I164" t="e">
            <v>#REF!</v>
          </cell>
          <cell r="J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>
            <v>30</v>
          </cell>
          <cell r="F165">
            <v>30</v>
          </cell>
          <cell r="G165" t="str">
            <v>3月份</v>
          </cell>
          <cell r="H165" t="e">
            <v>#REF!</v>
          </cell>
          <cell r="I165" t="e">
            <v>#REF!</v>
          </cell>
          <cell r="J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>
            <v>30</v>
          </cell>
          <cell r="F166">
            <v>30</v>
          </cell>
          <cell r="G166" t="str">
            <v>3月份</v>
          </cell>
          <cell r="H166" t="e">
            <v>#REF!</v>
          </cell>
          <cell r="I166" t="e">
            <v>#REF!</v>
          </cell>
          <cell r="J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>
            <v>30</v>
          </cell>
          <cell r="F167">
            <v>30</v>
          </cell>
          <cell r="G167" t="str">
            <v>3月份</v>
          </cell>
          <cell r="H167" t="e">
            <v>#REF!</v>
          </cell>
          <cell r="I167" t="e">
            <v>#REF!</v>
          </cell>
          <cell r="J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>
            <v>30</v>
          </cell>
          <cell r="F168">
            <v>30</v>
          </cell>
          <cell r="G168" t="str">
            <v>3月份</v>
          </cell>
          <cell r="H168" t="e">
            <v>#REF!</v>
          </cell>
          <cell r="I168" t="e">
            <v>#REF!</v>
          </cell>
          <cell r="J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>
            <v>30</v>
          </cell>
          <cell r="F169">
            <v>30</v>
          </cell>
          <cell r="G169" t="str">
            <v>3月份</v>
          </cell>
          <cell r="H169" t="e">
            <v>#REF!</v>
          </cell>
          <cell r="I169" t="e">
            <v>#REF!</v>
          </cell>
          <cell r="J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>
            <v>30</v>
          </cell>
          <cell r="F170">
            <v>30</v>
          </cell>
          <cell r="G170" t="str">
            <v>3月份</v>
          </cell>
          <cell r="H170" t="e">
            <v>#REF!</v>
          </cell>
          <cell r="I170" t="e">
            <v>#REF!</v>
          </cell>
          <cell r="J170" t="e">
            <v>#REF!</v>
          </cell>
        </row>
      </sheetData>
      <sheetData sheetId="14">
        <row r="6">
          <cell r="B6" t="e">
            <v>#REF!</v>
          </cell>
          <cell r="C6" t="e">
            <v>#REF!</v>
          </cell>
          <cell r="D6" t="e">
            <v>#REF!</v>
          </cell>
          <cell r="E6">
            <v>30</v>
          </cell>
          <cell r="F6">
            <v>30</v>
          </cell>
          <cell r="G6" t="str">
            <v>3月份</v>
          </cell>
          <cell r="H6" t="e">
            <v>#REF!</v>
          </cell>
          <cell r="I6" t="e">
            <v>#REF!</v>
          </cell>
          <cell r="J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>
            <v>30</v>
          </cell>
          <cell r="F7">
            <v>30</v>
          </cell>
          <cell r="G7" t="str">
            <v>3月份</v>
          </cell>
          <cell r="H7" t="e">
            <v>#REF!</v>
          </cell>
          <cell r="I7" t="e">
            <v>#REF!</v>
          </cell>
          <cell r="J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>
            <v>30</v>
          </cell>
          <cell r="F8">
            <v>30</v>
          </cell>
          <cell r="G8" t="str">
            <v>3月份</v>
          </cell>
          <cell r="H8" t="e">
            <v>#REF!</v>
          </cell>
          <cell r="I8" t="e">
            <v>#REF!</v>
          </cell>
          <cell r="J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>
            <v>30</v>
          </cell>
          <cell r="F9">
            <v>30</v>
          </cell>
          <cell r="G9" t="str">
            <v>3月份</v>
          </cell>
          <cell r="H9" t="e">
            <v>#REF!</v>
          </cell>
          <cell r="I9" t="e">
            <v>#REF!</v>
          </cell>
          <cell r="J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>
            <v>30</v>
          </cell>
          <cell r="F10">
            <v>30</v>
          </cell>
          <cell r="G10" t="str">
            <v>3月份</v>
          </cell>
          <cell r="H10" t="e">
            <v>#REF!</v>
          </cell>
          <cell r="I10" t="e">
            <v>#REF!</v>
          </cell>
          <cell r="J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>
            <v>30</v>
          </cell>
          <cell r="F11">
            <v>30</v>
          </cell>
          <cell r="G11" t="str">
            <v>3月份</v>
          </cell>
          <cell r="H11" t="e">
            <v>#REF!</v>
          </cell>
          <cell r="I11" t="e">
            <v>#REF!</v>
          </cell>
          <cell r="J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>
            <v>30</v>
          </cell>
          <cell r="F12">
            <v>30</v>
          </cell>
          <cell r="G12" t="str">
            <v>3月份</v>
          </cell>
          <cell r="H12" t="e">
            <v>#REF!</v>
          </cell>
          <cell r="I12" t="e">
            <v>#REF!</v>
          </cell>
          <cell r="J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>
            <v>30</v>
          </cell>
          <cell r="F13">
            <v>30</v>
          </cell>
          <cell r="G13" t="str">
            <v>3月份</v>
          </cell>
          <cell r="H13" t="e">
            <v>#REF!</v>
          </cell>
          <cell r="I13" t="e">
            <v>#REF!</v>
          </cell>
          <cell r="J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>
            <v>30</v>
          </cell>
          <cell r="F14">
            <v>30</v>
          </cell>
          <cell r="G14" t="str">
            <v>3月份</v>
          </cell>
          <cell r="H14" t="e">
            <v>#REF!</v>
          </cell>
          <cell r="I14" t="e">
            <v>#REF!</v>
          </cell>
          <cell r="J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>
            <v>30</v>
          </cell>
          <cell r="F15">
            <v>30</v>
          </cell>
          <cell r="G15" t="str">
            <v>3月份</v>
          </cell>
          <cell r="H15" t="e">
            <v>#REF!</v>
          </cell>
          <cell r="I15" t="e">
            <v>#REF!</v>
          </cell>
          <cell r="J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>
            <v>30</v>
          </cell>
          <cell r="F16">
            <v>30</v>
          </cell>
          <cell r="G16" t="str">
            <v>3月份</v>
          </cell>
          <cell r="H16" t="e">
            <v>#REF!</v>
          </cell>
          <cell r="I16" t="e">
            <v>#REF!</v>
          </cell>
          <cell r="J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>
            <v>30</v>
          </cell>
          <cell r="F17">
            <v>30</v>
          </cell>
          <cell r="G17" t="str">
            <v>3月份</v>
          </cell>
          <cell r="H17" t="e">
            <v>#REF!</v>
          </cell>
          <cell r="I17" t="e">
            <v>#REF!</v>
          </cell>
          <cell r="J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>
            <v>30</v>
          </cell>
          <cell r="F18">
            <v>30</v>
          </cell>
          <cell r="G18" t="str">
            <v>3月份</v>
          </cell>
          <cell r="H18" t="e">
            <v>#REF!</v>
          </cell>
          <cell r="I18" t="e">
            <v>#REF!</v>
          </cell>
          <cell r="J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>
            <v>30</v>
          </cell>
          <cell r="F19">
            <v>30</v>
          </cell>
          <cell r="G19" t="str">
            <v>3月份</v>
          </cell>
          <cell r="H19" t="e">
            <v>#REF!</v>
          </cell>
          <cell r="I19" t="e">
            <v>#REF!</v>
          </cell>
          <cell r="J19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>
            <v>30</v>
          </cell>
          <cell r="F22">
            <v>30</v>
          </cell>
          <cell r="G22" t="str">
            <v>3月份</v>
          </cell>
          <cell r="H22" t="e">
            <v>#REF!</v>
          </cell>
          <cell r="I22" t="e">
            <v>#REF!</v>
          </cell>
          <cell r="J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>
            <v>30</v>
          </cell>
          <cell r="F23">
            <v>30</v>
          </cell>
          <cell r="G23" t="str">
            <v>3月份</v>
          </cell>
          <cell r="H23" t="e">
            <v>#REF!</v>
          </cell>
          <cell r="I23" t="e">
            <v>#REF!</v>
          </cell>
          <cell r="J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>
            <v>30</v>
          </cell>
          <cell r="F24">
            <v>30</v>
          </cell>
          <cell r="G24" t="str">
            <v>3月份</v>
          </cell>
          <cell r="H24" t="e">
            <v>#REF!</v>
          </cell>
          <cell r="I24" t="e">
            <v>#REF!</v>
          </cell>
          <cell r="J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>
            <v>30</v>
          </cell>
          <cell r="F25">
            <v>30</v>
          </cell>
          <cell r="G25" t="str">
            <v>3月份</v>
          </cell>
          <cell r="H25" t="e">
            <v>#REF!</v>
          </cell>
          <cell r="I25" t="e">
            <v>#REF!</v>
          </cell>
          <cell r="J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>
            <v>30</v>
          </cell>
          <cell r="F26">
            <v>30</v>
          </cell>
          <cell r="G26" t="str">
            <v>3月份</v>
          </cell>
          <cell r="H26" t="e">
            <v>#REF!</v>
          </cell>
          <cell r="I26" t="e">
            <v>#REF!</v>
          </cell>
          <cell r="J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>
            <v>30</v>
          </cell>
          <cell r="F27">
            <v>30</v>
          </cell>
          <cell r="G27" t="str">
            <v>3月份</v>
          </cell>
          <cell r="H27" t="e">
            <v>#REF!</v>
          </cell>
          <cell r="I27" t="e">
            <v>#REF!</v>
          </cell>
          <cell r="J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>
            <v>30</v>
          </cell>
          <cell r="F28">
            <v>30</v>
          </cell>
          <cell r="G28" t="str">
            <v>3月份</v>
          </cell>
          <cell r="H28" t="e">
            <v>#REF!</v>
          </cell>
          <cell r="I28" t="e">
            <v>#REF!</v>
          </cell>
          <cell r="J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>
            <v>30</v>
          </cell>
          <cell r="F29">
            <v>30</v>
          </cell>
          <cell r="G29" t="str">
            <v>3月份</v>
          </cell>
          <cell r="H29" t="e">
            <v>#REF!</v>
          </cell>
          <cell r="I29" t="e">
            <v>#REF!</v>
          </cell>
          <cell r="J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>
            <v>30</v>
          </cell>
          <cell r="F30">
            <v>30</v>
          </cell>
          <cell r="G30" t="str">
            <v>3月份</v>
          </cell>
          <cell r="H30" t="e">
            <v>#REF!</v>
          </cell>
          <cell r="I30" t="e">
            <v>#REF!</v>
          </cell>
          <cell r="J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>
            <v>30</v>
          </cell>
          <cell r="F31">
            <v>30</v>
          </cell>
          <cell r="G31" t="str">
            <v>3月份</v>
          </cell>
          <cell r="H31" t="e">
            <v>#REF!</v>
          </cell>
          <cell r="I31" t="e">
            <v>#REF!</v>
          </cell>
          <cell r="J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>
            <v>30</v>
          </cell>
          <cell r="F32">
            <v>30</v>
          </cell>
          <cell r="G32" t="str">
            <v>3月份</v>
          </cell>
          <cell r="H32" t="e">
            <v>#REF!</v>
          </cell>
          <cell r="I32" t="e">
            <v>#REF!</v>
          </cell>
          <cell r="J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>
            <v>30</v>
          </cell>
          <cell r="F33">
            <v>30</v>
          </cell>
          <cell r="G33" t="str">
            <v>3月份</v>
          </cell>
          <cell r="H33" t="e">
            <v>#REF!</v>
          </cell>
          <cell r="I33" t="e">
            <v>#REF!</v>
          </cell>
          <cell r="J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>
            <v>30</v>
          </cell>
          <cell r="F34">
            <v>30</v>
          </cell>
          <cell r="G34" t="str">
            <v>3月份</v>
          </cell>
          <cell r="H34" t="e">
            <v>#REF!</v>
          </cell>
          <cell r="I34" t="e">
            <v>#REF!</v>
          </cell>
          <cell r="J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>
            <v>30</v>
          </cell>
          <cell r="F35">
            <v>30</v>
          </cell>
          <cell r="G35" t="str">
            <v>3月份</v>
          </cell>
          <cell r="H35" t="e">
            <v>#REF!</v>
          </cell>
          <cell r="I35" t="e">
            <v>#REF!</v>
          </cell>
          <cell r="J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>
            <v>30</v>
          </cell>
          <cell r="F36">
            <v>30</v>
          </cell>
          <cell r="G36" t="str">
            <v>3月份</v>
          </cell>
          <cell r="H36" t="e">
            <v>#REF!</v>
          </cell>
          <cell r="I36" t="e">
            <v>#REF!</v>
          </cell>
          <cell r="J36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>
            <v>30</v>
          </cell>
          <cell r="F39">
            <v>30</v>
          </cell>
          <cell r="G39" t="str">
            <v>3月份</v>
          </cell>
          <cell r="H39" t="e">
            <v>#REF!</v>
          </cell>
          <cell r="I39" t="e">
            <v>#REF!</v>
          </cell>
          <cell r="J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>
            <v>30</v>
          </cell>
          <cell r="F40">
            <v>30</v>
          </cell>
          <cell r="G40" t="str">
            <v>3月份</v>
          </cell>
          <cell r="H40" t="e">
            <v>#REF!</v>
          </cell>
          <cell r="I40" t="e">
            <v>#REF!</v>
          </cell>
          <cell r="J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>
            <v>30</v>
          </cell>
          <cell r="F41">
            <v>30</v>
          </cell>
          <cell r="G41" t="str">
            <v>3月份</v>
          </cell>
          <cell r="H41" t="e">
            <v>#REF!</v>
          </cell>
          <cell r="I41" t="e">
            <v>#REF!</v>
          </cell>
          <cell r="J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>
            <v>30</v>
          </cell>
          <cell r="F42">
            <v>30</v>
          </cell>
          <cell r="G42" t="str">
            <v>3月份</v>
          </cell>
          <cell r="H42" t="e">
            <v>#REF!</v>
          </cell>
          <cell r="I42" t="e">
            <v>#REF!</v>
          </cell>
          <cell r="J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>
            <v>30</v>
          </cell>
          <cell r="F43">
            <v>30</v>
          </cell>
          <cell r="G43" t="str">
            <v>3月份</v>
          </cell>
          <cell r="H43" t="e">
            <v>#REF!</v>
          </cell>
          <cell r="I43" t="e">
            <v>#REF!</v>
          </cell>
          <cell r="J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>
            <v>30</v>
          </cell>
          <cell r="F44">
            <v>30</v>
          </cell>
          <cell r="G44" t="str">
            <v>3月份</v>
          </cell>
          <cell r="H44" t="e">
            <v>#REF!</v>
          </cell>
          <cell r="I44" t="e">
            <v>#REF!</v>
          </cell>
          <cell r="J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>
            <v>30</v>
          </cell>
          <cell r="F45">
            <v>30</v>
          </cell>
          <cell r="G45" t="str">
            <v>3月份</v>
          </cell>
          <cell r="H45" t="e">
            <v>#REF!</v>
          </cell>
          <cell r="I45" t="e">
            <v>#REF!</v>
          </cell>
          <cell r="J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>
            <v>30</v>
          </cell>
          <cell r="F46">
            <v>30</v>
          </cell>
          <cell r="G46" t="str">
            <v>3月份</v>
          </cell>
          <cell r="H46" t="e">
            <v>#REF!</v>
          </cell>
          <cell r="I46" t="e">
            <v>#REF!</v>
          </cell>
          <cell r="J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>
            <v>30</v>
          </cell>
          <cell r="F47">
            <v>30</v>
          </cell>
          <cell r="G47" t="str">
            <v>3月份</v>
          </cell>
          <cell r="H47" t="e">
            <v>#REF!</v>
          </cell>
          <cell r="I47" t="e">
            <v>#REF!</v>
          </cell>
          <cell r="J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>
            <v>30</v>
          </cell>
          <cell r="F48">
            <v>30</v>
          </cell>
          <cell r="G48" t="str">
            <v>3月份</v>
          </cell>
          <cell r="H48" t="e">
            <v>#REF!</v>
          </cell>
          <cell r="I48" t="e">
            <v>#REF!</v>
          </cell>
          <cell r="J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>
            <v>30</v>
          </cell>
          <cell r="F49">
            <v>30</v>
          </cell>
          <cell r="G49" t="str">
            <v>3月份</v>
          </cell>
          <cell r="H49" t="e">
            <v>#REF!</v>
          </cell>
          <cell r="I49" t="e">
            <v>#REF!</v>
          </cell>
          <cell r="J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>
            <v>30</v>
          </cell>
          <cell r="F50">
            <v>30</v>
          </cell>
          <cell r="G50" t="str">
            <v>3月份</v>
          </cell>
          <cell r="H50" t="e">
            <v>#REF!</v>
          </cell>
          <cell r="I50" t="e">
            <v>#REF!</v>
          </cell>
          <cell r="J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>
            <v>30</v>
          </cell>
          <cell r="F51">
            <v>30</v>
          </cell>
          <cell r="G51" t="str">
            <v>3月份</v>
          </cell>
          <cell r="H51" t="e">
            <v>#REF!</v>
          </cell>
          <cell r="I51" t="e">
            <v>#REF!</v>
          </cell>
          <cell r="J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>
            <v>30</v>
          </cell>
          <cell r="F52">
            <v>30</v>
          </cell>
          <cell r="G52" t="str">
            <v>3月份</v>
          </cell>
          <cell r="H52" t="e">
            <v>#REF!</v>
          </cell>
          <cell r="I52" t="e">
            <v>#REF!</v>
          </cell>
          <cell r="J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>
            <v>30</v>
          </cell>
          <cell r="F53">
            <v>30</v>
          </cell>
          <cell r="G53" t="str">
            <v>3月份</v>
          </cell>
          <cell r="H53" t="e">
            <v>#REF!</v>
          </cell>
          <cell r="I53" t="e">
            <v>#REF!</v>
          </cell>
          <cell r="J53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>
            <v>30</v>
          </cell>
          <cell r="F56">
            <v>30</v>
          </cell>
          <cell r="G56" t="str">
            <v>3月份</v>
          </cell>
          <cell r="H56" t="e">
            <v>#REF!</v>
          </cell>
          <cell r="I56" t="e">
            <v>#REF!</v>
          </cell>
          <cell r="J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>
            <v>30</v>
          </cell>
          <cell r="F57">
            <v>30</v>
          </cell>
          <cell r="G57" t="str">
            <v>3月份</v>
          </cell>
          <cell r="H57" t="e">
            <v>#REF!</v>
          </cell>
          <cell r="I57" t="e">
            <v>#REF!</v>
          </cell>
          <cell r="J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>
            <v>30</v>
          </cell>
          <cell r="F58">
            <v>30</v>
          </cell>
          <cell r="G58" t="str">
            <v>3月份</v>
          </cell>
          <cell r="H58" t="e">
            <v>#REF!</v>
          </cell>
          <cell r="I58" t="e">
            <v>#REF!</v>
          </cell>
          <cell r="J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>
            <v>30</v>
          </cell>
          <cell r="F59">
            <v>30</v>
          </cell>
          <cell r="G59" t="str">
            <v>3月份</v>
          </cell>
          <cell r="H59" t="e">
            <v>#REF!</v>
          </cell>
          <cell r="I59" t="e">
            <v>#REF!</v>
          </cell>
          <cell r="J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>
            <v>30</v>
          </cell>
          <cell r="F60">
            <v>30</v>
          </cell>
          <cell r="G60" t="str">
            <v>3月份</v>
          </cell>
          <cell r="H60" t="e">
            <v>#REF!</v>
          </cell>
          <cell r="I60" t="e">
            <v>#REF!</v>
          </cell>
          <cell r="J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>
            <v>30</v>
          </cell>
          <cell r="F61">
            <v>30</v>
          </cell>
          <cell r="G61" t="str">
            <v>3月份</v>
          </cell>
          <cell r="H61" t="e">
            <v>#REF!</v>
          </cell>
          <cell r="I61" t="e">
            <v>#REF!</v>
          </cell>
          <cell r="J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>
            <v>30</v>
          </cell>
          <cell r="F62">
            <v>30</v>
          </cell>
          <cell r="G62" t="str">
            <v>3月份</v>
          </cell>
          <cell r="H62" t="e">
            <v>#REF!</v>
          </cell>
          <cell r="I62" t="e">
            <v>#REF!</v>
          </cell>
          <cell r="J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>
            <v>30</v>
          </cell>
          <cell r="F63">
            <v>30</v>
          </cell>
          <cell r="G63" t="str">
            <v>3月份</v>
          </cell>
          <cell r="H63" t="e">
            <v>#REF!</v>
          </cell>
          <cell r="I63" t="e">
            <v>#REF!</v>
          </cell>
          <cell r="J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>
            <v>30</v>
          </cell>
          <cell r="F64">
            <v>30</v>
          </cell>
          <cell r="G64" t="str">
            <v>3月份</v>
          </cell>
          <cell r="H64" t="e">
            <v>#REF!</v>
          </cell>
          <cell r="I64" t="e">
            <v>#REF!</v>
          </cell>
          <cell r="J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>
            <v>30</v>
          </cell>
          <cell r="F65">
            <v>30</v>
          </cell>
          <cell r="G65" t="str">
            <v>3月份</v>
          </cell>
          <cell r="H65" t="e">
            <v>#REF!</v>
          </cell>
          <cell r="I65" t="e">
            <v>#REF!</v>
          </cell>
          <cell r="J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>
            <v>30</v>
          </cell>
          <cell r="F66">
            <v>30</v>
          </cell>
          <cell r="G66" t="str">
            <v>3月份</v>
          </cell>
          <cell r="H66" t="e">
            <v>#REF!</v>
          </cell>
          <cell r="I66" t="e">
            <v>#REF!</v>
          </cell>
          <cell r="J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>
            <v>30</v>
          </cell>
          <cell r="F67">
            <v>30</v>
          </cell>
          <cell r="G67" t="str">
            <v>3月份</v>
          </cell>
          <cell r="H67" t="e">
            <v>#REF!</v>
          </cell>
          <cell r="I67" t="e">
            <v>#REF!</v>
          </cell>
          <cell r="J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>
            <v>30</v>
          </cell>
          <cell r="F68">
            <v>30</v>
          </cell>
          <cell r="G68" t="str">
            <v>3月份</v>
          </cell>
          <cell r="H68" t="e">
            <v>#REF!</v>
          </cell>
          <cell r="I68" t="e">
            <v>#REF!</v>
          </cell>
          <cell r="J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>
            <v>30</v>
          </cell>
          <cell r="F69">
            <v>30</v>
          </cell>
          <cell r="G69" t="str">
            <v>3月份</v>
          </cell>
          <cell r="H69" t="e">
            <v>#REF!</v>
          </cell>
          <cell r="I69" t="e">
            <v>#REF!</v>
          </cell>
          <cell r="J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>
            <v>30</v>
          </cell>
          <cell r="F70">
            <v>30</v>
          </cell>
          <cell r="G70" t="str">
            <v>3月份</v>
          </cell>
          <cell r="H70" t="e">
            <v>#REF!</v>
          </cell>
          <cell r="I70" t="e">
            <v>#REF!</v>
          </cell>
          <cell r="J70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>
            <v>30</v>
          </cell>
          <cell r="F73">
            <v>30</v>
          </cell>
          <cell r="G73" t="str">
            <v>3月份</v>
          </cell>
          <cell r="H73" t="e">
            <v>#REF!</v>
          </cell>
          <cell r="I73" t="e">
            <v>#REF!</v>
          </cell>
          <cell r="J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>
            <v>30</v>
          </cell>
          <cell r="F74">
            <v>30</v>
          </cell>
          <cell r="G74" t="str">
            <v>3月份</v>
          </cell>
          <cell r="H74" t="e">
            <v>#REF!</v>
          </cell>
          <cell r="I74" t="e">
            <v>#REF!</v>
          </cell>
          <cell r="J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>
            <v>30</v>
          </cell>
          <cell r="F75">
            <v>30</v>
          </cell>
          <cell r="G75" t="str">
            <v>3月份</v>
          </cell>
          <cell r="H75" t="e">
            <v>#REF!</v>
          </cell>
          <cell r="I75" t="e">
            <v>#REF!</v>
          </cell>
          <cell r="J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>
            <v>30</v>
          </cell>
          <cell r="F76">
            <v>30</v>
          </cell>
          <cell r="G76" t="str">
            <v>3月份</v>
          </cell>
          <cell r="H76" t="e">
            <v>#REF!</v>
          </cell>
          <cell r="I76" t="e">
            <v>#REF!</v>
          </cell>
          <cell r="J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>
            <v>30</v>
          </cell>
          <cell r="F77">
            <v>30</v>
          </cell>
          <cell r="G77" t="str">
            <v>3月份</v>
          </cell>
          <cell r="H77" t="e">
            <v>#REF!</v>
          </cell>
          <cell r="I77" t="e">
            <v>#REF!</v>
          </cell>
          <cell r="J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>
            <v>30</v>
          </cell>
          <cell r="F78">
            <v>30</v>
          </cell>
          <cell r="G78" t="str">
            <v>3月份</v>
          </cell>
          <cell r="H78" t="e">
            <v>#REF!</v>
          </cell>
          <cell r="I78" t="e">
            <v>#REF!</v>
          </cell>
          <cell r="J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>
            <v>30</v>
          </cell>
          <cell r="F79">
            <v>30</v>
          </cell>
          <cell r="G79" t="str">
            <v>3月份</v>
          </cell>
          <cell r="H79" t="e">
            <v>#REF!</v>
          </cell>
          <cell r="I79" t="e">
            <v>#REF!</v>
          </cell>
          <cell r="J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>
            <v>30</v>
          </cell>
          <cell r="F80">
            <v>30</v>
          </cell>
          <cell r="G80" t="str">
            <v>3月份</v>
          </cell>
          <cell r="H80" t="e">
            <v>#REF!</v>
          </cell>
          <cell r="I80" t="e">
            <v>#REF!</v>
          </cell>
          <cell r="J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>
            <v>30</v>
          </cell>
          <cell r="F81">
            <v>30</v>
          </cell>
          <cell r="G81" t="str">
            <v>3月份</v>
          </cell>
          <cell r="H81" t="e">
            <v>#REF!</v>
          </cell>
          <cell r="I81" t="e">
            <v>#REF!</v>
          </cell>
          <cell r="J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>
            <v>30</v>
          </cell>
          <cell r="F82">
            <v>30</v>
          </cell>
          <cell r="G82" t="str">
            <v>3月份</v>
          </cell>
          <cell r="H82" t="e">
            <v>#REF!</v>
          </cell>
          <cell r="I82" t="e">
            <v>#REF!</v>
          </cell>
          <cell r="J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>
            <v>30</v>
          </cell>
          <cell r="F83">
            <v>30</v>
          </cell>
          <cell r="G83" t="str">
            <v>3月份</v>
          </cell>
          <cell r="H83" t="e">
            <v>#REF!</v>
          </cell>
          <cell r="I83" t="e">
            <v>#REF!</v>
          </cell>
          <cell r="J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>
            <v>30</v>
          </cell>
          <cell r="F84">
            <v>30</v>
          </cell>
          <cell r="G84" t="str">
            <v>3月份</v>
          </cell>
          <cell r="H84" t="e">
            <v>#REF!</v>
          </cell>
          <cell r="I84" t="e">
            <v>#REF!</v>
          </cell>
          <cell r="J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>
            <v>30</v>
          </cell>
          <cell r="F85">
            <v>30</v>
          </cell>
          <cell r="G85" t="str">
            <v>3月份</v>
          </cell>
          <cell r="H85" t="e">
            <v>#REF!</v>
          </cell>
          <cell r="I85" t="e">
            <v>#REF!</v>
          </cell>
          <cell r="J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>
            <v>30</v>
          </cell>
          <cell r="F86">
            <v>30</v>
          </cell>
          <cell r="G86" t="str">
            <v>3月份</v>
          </cell>
          <cell r="H86" t="e">
            <v>#REF!</v>
          </cell>
          <cell r="I86" t="e">
            <v>#REF!</v>
          </cell>
          <cell r="J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>
            <v>30</v>
          </cell>
          <cell r="F87">
            <v>30</v>
          </cell>
          <cell r="G87" t="str">
            <v>3月份</v>
          </cell>
          <cell r="H87" t="e">
            <v>#REF!</v>
          </cell>
          <cell r="I87" t="e">
            <v>#REF!</v>
          </cell>
          <cell r="J87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>
            <v>30</v>
          </cell>
          <cell r="F90">
            <v>30</v>
          </cell>
          <cell r="G90" t="str">
            <v>3月份</v>
          </cell>
          <cell r="H90" t="e">
            <v>#REF!</v>
          </cell>
          <cell r="I90" t="e">
            <v>#REF!</v>
          </cell>
          <cell r="J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>
            <v>30</v>
          </cell>
          <cell r="F91">
            <v>30</v>
          </cell>
          <cell r="G91" t="str">
            <v>3月份</v>
          </cell>
          <cell r="H91" t="e">
            <v>#REF!</v>
          </cell>
          <cell r="I91" t="e">
            <v>#REF!</v>
          </cell>
          <cell r="J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>
            <v>30</v>
          </cell>
          <cell r="F92">
            <v>30</v>
          </cell>
          <cell r="G92" t="str">
            <v>3月份</v>
          </cell>
          <cell r="H92" t="e">
            <v>#REF!</v>
          </cell>
          <cell r="I92" t="e">
            <v>#REF!</v>
          </cell>
          <cell r="J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>
            <v>30</v>
          </cell>
          <cell r="F93">
            <v>30</v>
          </cell>
          <cell r="G93" t="str">
            <v>3月份</v>
          </cell>
          <cell r="H93" t="e">
            <v>#REF!</v>
          </cell>
          <cell r="I93" t="e">
            <v>#REF!</v>
          </cell>
          <cell r="J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>
            <v>30</v>
          </cell>
          <cell r="F94">
            <v>30</v>
          </cell>
          <cell r="G94" t="str">
            <v>3月份</v>
          </cell>
          <cell r="H94" t="e">
            <v>#REF!</v>
          </cell>
          <cell r="I94" t="e">
            <v>#REF!</v>
          </cell>
          <cell r="J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>
            <v>30</v>
          </cell>
          <cell r="F95">
            <v>30</v>
          </cell>
          <cell r="G95" t="str">
            <v>3月份</v>
          </cell>
          <cell r="H95" t="e">
            <v>#REF!</v>
          </cell>
          <cell r="I95" t="e">
            <v>#REF!</v>
          </cell>
          <cell r="J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>
            <v>30</v>
          </cell>
          <cell r="F96">
            <v>30</v>
          </cell>
          <cell r="G96" t="str">
            <v>3月份</v>
          </cell>
          <cell r="H96" t="e">
            <v>#REF!</v>
          </cell>
          <cell r="I96" t="e">
            <v>#REF!</v>
          </cell>
          <cell r="J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>
            <v>30</v>
          </cell>
          <cell r="F97">
            <v>30</v>
          </cell>
          <cell r="G97" t="str">
            <v>3月份</v>
          </cell>
          <cell r="H97" t="e">
            <v>#REF!</v>
          </cell>
          <cell r="I97" t="e">
            <v>#REF!</v>
          </cell>
          <cell r="J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>
            <v>30</v>
          </cell>
          <cell r="F98">
            <v>30</v>
          </cell>
          <cell r="G98" t="str">
            <v>3月份</v>
          </cell>
          <cell r="H98" t="e">
            <v>#REF!</v>
          </cell>
          <cell r="I98" t="e">
            <v>#REF!</v>
          </cell>
          <cell r="J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>
            <v>30</v>
          </cell>
          <cell r="F99">
            <v>30</v>
          </cell>
          <cell r="G99" t="str">
            <v>3月份</v>
          </cell>
          <cell r="H99" t="e">
            <v>#REF!</v>
          </cell>
          <cell r="I99" t="e">
            <v>#REF!</v>
          </cell>
          <cell r="J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>
            <v>30</v>
          </cell>
          <cell r="F100">
            <v>30</v>
          </cell>
          <cell r="G100" t="str">
            <v>3月份</v>
          </cell>
          <cell r="H100" t="e">
            <v>#REF!</v>
          </cell>
          <cell r="I100" t="e">
            <v>#REF!</v>
          </cell>
          <cell r="J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>
            <v>30</v>
          </cell>
          <cell r="F101">
            <v>30</v>
          </cell>
          <cell r="G101" t="str">
            <v>3月份</v>
          </cell>
          <cell r="H101" t="e">
            <v>#REF!</v>
          </cell>
          <cell r="I101" t="e">
            <v>#REF!</v>
          </cell>
          <cell r="J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>
            <v>30</v>
          </cell>
          <cell r="F102">
            <v>30</v>
          </cell>
          <cell r="G102" t="str">
            <v>3月份</v>
          </cell>
          <cell r="H102" t="e">
            <v>#REF!</v>
          </cell>
          <cell r="I102" t="e">
            <v>#REF!</v>
          </cell>
          <cell r="J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>
            <v>30</v>
          </cell>
          <cell r="F103">
            <v>30</v>
          </cell>
          <cell r="G103" t="str">
            <v>3月份</v>
          </cell>
          <cell r="H103" t="e">
            <v>#REF!</v>
          </cell>
          <cell r="I103" t="e">
            <v>#REF!</v>
          </cell>
          <cell r="J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>
            <v>30</v>
          </cell>
          <cell r="F104">
            <v>30</v>
          </cell>
          <cell r="G104" t="str">
            <v>3月份</v>
          </cell>
          <cell r="H104" t="e">
            <v>#REF!</v>
          </cell>
          <cell r="I104" t="e">
            <v>#REF!</v>
          </cell>
          <cell r="J104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>
            <v>30</v>
          </cell>
          <cell r="F107">
            <v>30</v>
          </cell>
          <cell r="G107" t="str">
            <v>3月份</v>
          </cell>
          <cell r="H107" t="e">
            <v>#REF!</v>
          </cell>
          <cell r="I107" t="e">
            <v>#REF!</v>
          </cell>
          <cell r="J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>
            <v>30</v>
          </cell>
          <cell r="F108">
            <v>30</v>
          </cell>
          <cell r="G108" t="str">
            <v>3月份</v>
          </cell>
          <cell r="H108" t="e">
            <v>#REF!</v>
          </cell>
          <cell r="I108" t="e">
            <v>#REF!</v>
          </cell>
          <cell r="J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>
            <v>30</v>
          </cell>
          <cell r="F109">
            <v>30</v>
          </cell>
          <cell r="G109" t="str">
            <v>3月份</v>
          </cell>
          <cell r="H109" t="e">
            <v>#REF!</v>
          </cell>
          <cell r="I109" t="e">
            <v>#REF!</v>
          </cell>
          <cell r="J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>
            <v>30</v>
          </cell>
          <cell r="F110">
            <v>30</v>
          </cell>
          <cell r="G110" t="str">
            <v>3月份</v>
          </cell>
          <cell r="H110" t="e">
            <v>#REF!</v>
          </cell>
          <cell r="I110" t="e">
            <v>#REF!</v>
          </cell>
          <cell r="J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>
            <v>30</v>
          </cell>
          <cell r="F111">
            <v>30</v>
          </cell>
          <cell r="G111" t="str">
            <v>3月份</v>
          </cell>
          <cell r="H111" t="e">
            <v>#REF!</v>
          </cell>
          <cell r="I111" t="e">
            <v>#REF!</v>
          </cell>
          <cell r="J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>
            <v>30</v>
          </cell>
          <cell r="F112">
            <v>30</v>
          </cell>
          <cell r="G112" t="str">
            <v>3月份</v>
          </cell>
          <cell r="H112" t="e">
            <v>#REF!</v>
          </cell>
          <cell r="I112" t="e">
            <v>#REF!</v>
          </cell>
          <cell r="J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>
            <v>30</v>
          </cell>
          <cell r="F113">
            <v>30</v>
          </cell>
          <cell r="G113" t="str">
            <v>3月份</v>
          </cell>
          <cell r="H113" t="e">
            <v>#REF!</v>
          </cell>
          <cell r="I113" t="e">
            <v>#REF!</v>
          </cell>
          <cell r="J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>
            <v>30</v>
          </cell>
          <cell r="F114">
            <v>30</v>
          </cell>
          <cell r="G114" t="str">
            <v>3月份</v>
          </cell>
          <cell r="H114" t="e">
            <v>#REF!</v>
          </cell>
          <cell r="I114" t="e">
            <v>#REF!</v>
          </cell>
          <cell r="J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>
            <v>30</v>
          </cell>
          <cell r="F115">
            <v>30</v>
          </cell>
          <cell r="G115" t="str">
            <v>3月份</v>
          </cell>
          <cell r="H115" t="e">
            <v>#REF!</v>
          </cell>
          <cell r="I115" t="e">
            <v>#REF!</v>
          </cell>
          <cell r="J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>
            <v>30</v>
          </cell>
          <cell r="F116">
            <v>30</v>
          </cell>
          <cell r="G116" t="str">
            <v>3月份</v>
          </cell>
          <cell r="H116" t="e">
            <v>#REF!</v>
          </cell>
          <cell r="I116" t="e">
            <v>#REF!</v>
          </cell>
          <cell r="J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>
            <v>30</v>
          </cell>
          <cell r="F117">
            <v>30</v>
          </cell>
          <cell r="G117" t="str">
            <v>3月份</v>
          </cell>
          <cell r="H117" t="e">
            <v>#REF!</v>
          </cell>
          <cell r="I117" t="e">
            <v>#REF!</v>
          </cell>
          <cell r="J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>
            <v>30</v>
          </cell>
          <cell r="F118">
            <v>30</v>
          </cell>
          <cell r="G118" t="str">
            <v>3月份</v>
          </cell>
          <cell r="H118" t="e">
            <v>#REF!</v>
          </cell>
          <cell r="I118" t="e">
            <v>#REF!</v>
          </cell>
          <cell r="J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>
            <v>30</v>
          </cell>
          <cell r="F119">
            <v>30</v>
          </cell>
          <cell r="G119" t="str">
            <v>3月份</v>
          </cell>
          <cell r="H119" t="e">
            <v>#REF!</v>
          </cell>
          <cell r="I119" t="e">
            <v>#REF!</v>
          </cell>
          <cell r="J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>
            <v>30</v>
          </cell>
          <cell r="F120">
            <v>30</v>
          </cell>
          <cell r="G120" t="str">
            <v>3月份</v>
          </cell>
          <cell r="H120" t="e">
            <v>#REF!</v>
          </cell>
          <cell r="I120" t="e">
            <v>#REF!</v>
          </cell>
          <cell r="J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>
            <v>30</v>
          </cell>
          <cell r="F121">
            <v>30</v>
          </cell>
          <cell r="G121" t="str">
            <v>3月份</v>
          </cell>
          <cell r="H121" t="e">
            <v>#REF!</v>
          </cell>
          <cell r="I121" t="e">
            <v>#REF!</v>
          </cell>
          <cell r="J121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>
            <v>30</v>
          </cell>
          <cell r="F124">
            <v>30</v>
          </cell>
          <cell r="G124" t="str">
            <v>3月份</v>
          </cell>
          <cell r="H124" t="e">
            <v>#REF!</v>
          </cell>
          <cell r="I124" t="e">
            <v>#REF!</v>
          </cell>
          <cell r="J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>
            <v>30</v>
          </cell>
          <cell r="F125">
            <v>30</v>
          </cell>
          <cell r="G125" t="str">
            <v>3月份</v>
          </cell>
          <cell r="H125" t="e">
            <v>#REF!</v>
          </cell>
          <cell r="I125" t="e">
            <v>#REF!</v>
          </cell>
          <cell r="J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>
            <v>30</v>
          </cell>
          <cell r="F126">
            <v>30</v>
          </cell>
          <cell r="G126" t="str">
            <v>3月份</v>
          </cell>
          <cell r="H126" t="e">
            <v>#REF!</v>
          </cell>
          <cell r="I126" t="e">
            <v>#REF!</v>
          </cell>
          <cell r="J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>
            <v>30</v>
          </cell>
          <cell r="F127">
            <v>30</v>
          </cell>
          <cell r="G127" t="str">
            <v>3月份</v>
          </cell>
          <cell r="H127" t="e">
            <v>#REF!</v>
          </cell>
          <cell r="I127" t="e">
            <v>#REF!</v>
          </cell>
          <cell r="J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>
            <v>30</v>
          </cell>
          <cell r="F128">
            <v>30</v>
          </cell>
          <cell r="G128" t="str">
            <v>3月份</v>
          </cell>
          <cell r="H128" t="e">
            <v>#REF!</v>
          </cell>
          <cell r="I128" t="e">
            <v>#REF!</v>
          </cell>
          <cell r="J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>
            <v>30</v>
          </cell>
          <cell r="F129">
            <v>30</v>
          </cell>
          <cell r="G129" t="str">
            <v>3月份</v>
          </cell>
          <cell r="H129" t="e">
            <v>#REF!</v>
          </cell>
          <cell r="I129" t="e">
            <v>#REF!</v>
          </cell>
          <cell r="J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>
            <v>30</v>
          </cell>
          <cell r="F130">
            <v>30</v>
          </cell>
          <cell r="G130" t="str">
            <v>3月份</v>
          </cell>
          <cell r="H130" t="e">
            <v>#REF!</v>
          </cell>
          <cell r="I130" t="e">
            <v>#REF!</v>
          </cell>
          <cell r="J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>
            <v>30</v>
          </cell>
          <cell r="F131">
            <v>30</v>
          </cell>
          <cell r="G131" t="str">
            <v>3月份</v>
          </cell>
          <cell r="H131" t="e">
            <v>#REF!</v>
          </cell>
          <cell r="I131" t="e">
            <v>#REF!</v>
          </cell>
          <cell r="J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>
            <v>30</v>
          </cell>
          <cell r="F132">
            <v>30</v>
          </cell>
          <cell r="G132" t="str">
            <v>3月份</v>
          </cell>
          <cell r="H132" t="e">
            <v>#REF!</v>
          </cell>
          <cell r="I132" t="e">
            <v>#REF!</v>
          </cell>
          <cell r="J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>
            <v>30</v>
          </cell>
          <cell r="F133">
            <v>30</v>
          </cell>
          <cell r="G133" t="str">
            <v>3月份</v>
          </cell>
          <cell r="H133" t="e">
            <v>#REF!</v>
          </cell>
          <cell r="I133" t="e">
            <v>#REF!</v>
          </cell>
          <cell r="J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>
            <v>30</v>
          </cell>
          <cell r="F134">
            <v>30</v>
          </cell>
          <cell r="G134" t="str">
            <v>3月份</v>
          </cell>
          <cell r="H134" t="e">
            <v>#REF!</v>
          </cell>
          <cell r="I134" t="e">
            <v>#REF!</v>
          </cell>
          <cell r="J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>
            <v>30</v>
          </cell>
          <cell r="F135">
            <v>30</v>
          </cell>
          <cell r="G135" t="str">
            <v>3月份</v>
          </cell>
          <cell r="H135" t="e">
            <v>#REF!</v>
          </cell>
          <cell r="I135" t="e">
            <v>#REF!</v>
          </cell>
          <cell r="J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>
            <v>30</v>
          </cell>
          <cell r="F136">
            <v>30</v>
          </cell>
          <cell r="G136" t="str">
            <v>3月份</v>
          </cell>
          <cell r="H136" t="e">
            <v>#REF!</v>
          </cell>
          <cell r="I136" t="e">
            <v>#REF!</v>
          </cell>
          <cell r="J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>
            <v>30</v>
          </cell>
          <cell r="F137">
            <v>30</v>
          </cell>
          <cell r="G137" t="str">
            <v>3月份</v>
          </cell>
          <cell r="H137" t="e">
            <v>#REF!</v>
          </cell>
          <cell r="I137" t="e">
            <v>#REF!</v>
          </cell>
          <cell r="J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>
            <v>30</v>
          </cell>
          <cell r="F138">
            <v>30</v>
          </cell>
          <cell r="G138" t="str">
            <v>3月份</v>
          </cell>
          <cell r="H138" t="e">
            <v>#REF!</v>
          </cell>
          <cell r="I138" t="e">
            <v>#REF!</v>
          </cell>
          <cell r="J138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>
            <v>30</v>
          </cell>
          <cell r="F141">
            <v>30</v>
          </cell>
          <cell r="G141" t="str">
            <v>3月份</v>
          </cell>
          <cell r="H141" t="e">
            <v>#REF!</v>
          </cell>
          <cell r="I141" t="e">
            <v>#REF!</v>
          </cell>
          <cell r="J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>
            <v>30</v>
          </cell>
          <cell r="F142">
            <v>30</v>
          </cell>
          <cell r="G142" t="str">
            <v>3月份</v>
          </cell>
          <cell r="H142" t="e">
            <v>#REF!</v>
          </cell>
          <cell r="I142" t="e">
            <v>#REF!</v>
          </cell>
          <cell r="J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>
            <v>30</v>
          </cell>
          <cell r="F143">
            <v>30</v>
          </cell>
          <cell r="G143" t="str">
            <v>3月份</v>
          </cell>
          <cell r="H143" t="e">
            <v>#REF!</v>
          </cell>
          <cell r="I143" t="e">
            <v>#REF!</v>
          </cell>
          <cell r="J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>
            <v>30</v>
          </cell>
          <cell r="F144">
            <v>30</v>
          </cell>
          <cell r="G144" t="str">
            <v>3月份</v>
          </cell>
          <cell r="H144" t="e">
            <v>#REF!</v>
          </cell>
          <cell r="I144" t="e">
            <v>#REF!</v>
          </cell>
          <cell r="J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>
            <v>30</v>
          </cell>
          <cell r="F145">
            <v>30</v>
          </cell>
          <cell r="G145" t="str">
            <v>3月份</v>
          </cell>
          <cell r="H145" t="e">
            <v>#REF!</v>
          </cell>
          <cell r="I145" t="e">
            <v>#REF!</v>
          </cell>
          <cell r="J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>
            <v>30</v>
          </cell>
          <cell r="F146">
            <v>30</v>
          </cell>
          <cell r="G146" t="str">
            <v>3月份</v>
          </cell>
          <cell r="H146" t="e">
            <v>#REF!</v>
          </cell>
          <cell r="I146" t="e">
            <v>#REF!</v>
          </cell>
          <cell r="J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>
            <v>30</v>
          </cell>
          <cell r="F147">
            <v>30</v>
          </cell>
          <cell r="G147" t="str">
            <v>3月份</v>
          </cell>
          <cell r="H147" t="e">
            <v>#REF!</v>
          </cell>
          <cell r="I147" t="e">
            <v>#REF!</v>
          </cell>
          <cell r="J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>
            <v>30</v>
          </cell>
          <cell r="F148">
            <v>30</v>
          </cell>
          <cell r="G148" t="str">
            <v>3月份</v>
          </cell>
          <cell r="H148" t="e">
            <v>#REF!</v>
          </cell>
          <cell r="I148" t="e">
            <v>#REF!</v>
          </cell>
          <cell r="J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>
            <v>30</v>
          </cell>
          <cell r="F149">
            <v>30</v>
          </cell>
          <cell r="G149" t="str">
            <v>3月份</v>
          </cell>
          <cell r="H149" t="e">
            <v>#REF!</v>
          </cell>
          <cell r="I149" t="e">
            <v>#REF!</v>
          </cell>
          <cell r="J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>
            <v>30</v>
          </cell>
          <cell r="F150">
            <v>30</v>
          </cell>
          <cell r="G150" t="str">
            <v>3月份</v>
          </cell>
          <cell r="H150" t="e">
            <v>#REF!</v>
          </cell>
          <cell r="I150" t="e">
            <v>#REF!</v>
          </cell>
          <cell r="J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>
            <v>30</v>
          </cell>
          <cell r="F151">
            <v>30</v>
          </cell>
          <cell r="G151" t="str">
            <v>3月份</v>
          </cell>
          <cell r="H151" t="e">
            <v>#REF!</v>
          </cell>
          <cell r="I151" t="e">
            <v>#REF!</v>
          </cell>
          <cell r="J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>
            <v>30</v>
          </cell>
          <cell r="F152">
            <v>30</v>
          </cell>
          <cell r="G152" t="str">
            <v>3月份</v>
          </cell>
          <cell r="H152" t="e">
            <v>#REF!</v>
          </cell>
          <cell r="I152" t="e">
            <v>#REF!</v>
          </cell>
          <cell r="J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>
            <v>30</v>
          </cell>
          <cell r="F153">
            <v>30</v>
          </cell>
          <cell r="G153" t="str">
            <v>3月份</v>
          </cell>
          <cell r="H153" t="e">
            <v>#REF!</v>
          </cell>
          <cell r="I153" t="e">
            <v>#REF!</v>
          </cell>
          <cell r="J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>
            <v>30</v>
          </cell>
          <cell r="F154">
            <v>30</v>
          </cell>
          <cell r="G154" t="str">
            <v>3月份</v>
          </cell>
          <cell r="H154" t="e">
            <v>#REF!</v>
          </cell>
          <cell r="I154" t="e">
            <v>#REF!</v>
          </cell>
          <cell r="J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>
            <v>30</v>
          </cell>
          <cell r="F155">
            <v>30</v>
          </cell>
          <cell r="G155" t="str">
            <v>3月份</v>
          </cell>
          <cell r="H155" t="e">
            <v>#REF!</v>
          </cell>
          <cell r="I155" t="e">
            <v>#REF!</v>
          </cell>
          <cell r="J155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>
            <v>30</v>
          </cell>
          <cell r="F158">
            <v>30</v>
          </cell>
          <cell r="G158" t="str">
            <v>3月份</v>
          </cell>
          <cell r="H158" t="e">
            <v>#REF!</v>
          </cell>
          <cell r="I158" t="e">
            <v>#REF!</v>
          </cell>
          <cell r="J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>
            <v>30</v>
          </cell>
          <cell r="F159">
            <v>30</v>
          </cell>
          <cell r="G159" t="str">
            <v>3月份</v>
          </cell>
          <cell r="H159" t="e">
            <v>#REF!</v>
          </cell>
          <cell r="I159" t="e">
            <v>#REF!</v>
          </cell>
          <cell r="J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>
            <v>30</v>
          </cell>
          <cell r="F160">
            <v>30</v>
          </cell>
          <cell r="G160" t="str">
            <v>3月份</v>
          </cell>
          <cell r="H160" t="e">
            <v>#REF!</v>
          </cell>
          <cell r="I160" t="e">
            <v>#REF!</v>
          </cell>
          <cell r="J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>
            <v>30</v>
          </cell>
          <cell r="F161">
            <v>30</v>
          </cell>
          <cell r="G161" t="str">
            <v>3月份</v>
          </cell>
          <cell r="H161" t="e">
            <v>#REF!</v>
          </cell>
          <cell r="I161" t="e">
            <v>#REF!</v>
          </cell>
          <cell r="J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>
            <v>30</v>
          </cell>
          <cell r="F162">
            <v>30</v>
          </cell>
          <cell r="G162" t="str">
            <v>3月份</v>
          </cell>
          <cell r="H162" t="e">
            <v>#REF!</v>
          </cell>
          <cell r="I162" t="e">
            <v>#REF!</v>
          </cell>
          <cell r="J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>
            <v>30</v>
          </cell>
          <cell r="F163">
            <v>30</v>
          </cell>
          <cell r="G163" t="str">
            <v>3月份</v>
          </cell>
          <cell r="H163" t="e">
            <v>#REF!</v>
          </cell>
          <cell r="I163" t="e">
            <v>#REF!</v>
          </cell>
          <cell r="J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>
            <v>30</v>
          </cell>
          <cell r="F164">
            <v>30</v>
          </cell>
          <cell r="G164" t="str">
            <v>3月份</v>
          </cell>
          <cell r="H164" t="e">
            <v>#REF!</v>
          </cell>
          <cell r="I164" t="e">
            <v>#REF!</v>
          </cell>
          <cell r="J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>
            <v>30</v>
          </cell>
          <cell r="F165">
            <v>30</v>
          </cell>
          <cell r="G165" t="str">
            <v>3月份</v>
          </cell>
          <cell r="H165" t="e">
            <v>#REF!</v>
          </cell>
          <cell r="I165" t="e">
            <v>#REF!</v>
          </cell>
          <cell r="J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>
            <v>30</v>
          </cell>
          <cell r="F166">
            <v>30</v>
          </cell>
          <cell r="G166" t="str">
            <v>3月份</v>
          </cell>
          <cell r="H166" t="e">
            <v>#REF!</v>
          </cell>
          <cell r="I166" t="e">
            <v>#REF!</v>
          </cell>
          <cell r="J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>
            <v>30</v>
          </cell>
          <cell r="F167">
            <v>30</v>
          </cell>
          <cell r="G167" t="str">
            <v>3月份</v>
          </cell>
          <cell r="H167" t="e">
            <v>#REF!</v>
          </cell>
          <cell r="I167" t="e">
            <v>#REF!</v>
          </cell>
          <cell r="J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>
            <v>30</v>
          </cell>
          <cell r="F168">
            <v>30</v>
          </cell>
          <cell r="G168" t="str">
            <v>3月份</v>
          </cell>
          <cell r="H168" t="e">
            <v>#REF!</v>
          </cell>
          <cell r="I168" t="e">
            <v>#REF!</v>
          </cell>
          <cell r="J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>
            <v>30</v>
          </cell>
          <cell r="F169">
            <v>30</v>
          </cell>
          <cell r="G169" t="str">
            <v>3月份</v>
          </cell>
          <cell r="H169" t="e">
            <v>#REF!</v>
          </cell>
          <cell r="I169" t="e">
            <v>#REF!</v>
          </cell>
          <cell r="J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>
            <v>30</v>
          </cell>
          <cell r="F170">
            <v>30</v>
          </cell>
          <cell r="G170" t="str">
            <v>3月份</v>
          </cell>
          <cell r="H170" t="e">
            <v>#REF!</v>
          </cell>
          <cell r="I170" t="e">
            <v>#REF!</v>
          </cell>
          <cell r="J170" t="e">
            <v>#REF!</v>
          </cell>
        </row>
      </sheetData>
      <sheetData sheetId="15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報表"/>
      <sheetName val="日報"/>
      <sheetName val="data"/>
      <sheetName val="IN-1"/>
      <sheetName val="IN-2"/>
      <sheetName val="IN-3"/>
      <sheetName val="IN-4"/>
      <sheetName val="IN-5"/>
      <sheetName val="篩選"/>
      <sheetName val="詳細表"/>
      <sheetName val="曲線"/>
      <sheetName val="曲線 (2)"/>
      <sheetName val="日進度"/>
      <sheetName val="日進度 (2)"/>
    </sheetNames>
    <sheetDataSet>
      <sheetData sheetId="0">
        <row r="1">
          <cell r="M1">
            <v>2351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951">
          <cell r="A1951">
            <v>1</v>
          </cell>
          <cell r="B1951">
            <v>1</v>
          </cell>
          <cell r="C1951" t="str">
            <v>壹. 發包工程費</v>
          </cell>
          <cell r="E1951" t="str">
            <v>*</v>
          </cell>
          <cell r="F1951" t="str">
            <v>*</v>
          </cell>
          <cell r="G1951" t="str">
            <v>*</v>
          </cell>
        </row>
        <row r="1952">
          <cell r="A1952">
            <v>2</v>
          </cell>
          <cell r="B1952">
            <v>2</v>
          </cell>
          <cell r="C1952" t="str">
            <v>甲. 工程部分</v>
          </cell>
          <cell r="E1952" t="str">
            <v>*</v>
          </cell>
          <cell r="F1952" t="str">
            <v>*</v>
          </cell>
          <cell r="G1952" t="str">
            <v>*</v>
          </cell>
        </row>
        <row r="1953">
          <cell r="A1953">
            <v>3</v>
          </cell>
          <cell r="B1953">
            <v>3</v>
          </cell>
          <cell r="C1953" t="str">
            <v>一. 路工工程</v>
          </cell>
          <cell r="E1953" t="str">
            <v>*</v>
          </cell>
          <cell r="F1953" t="str">
            <v>*</v>
          </cell>
          <cell r="G1953" t="str">
            <v>*</v>
          </cell>
        </row>
        <row r="1954">
          <cell r="A1954">
            <v>4</v>
          </cell>
          <cell r="B1954">
            <v>4</v>
          </cell>
          <cell r="C1954" t="str">
            <v>1. 清除及掘除</v>
          </cell>
          <cell r="E1954" t="str">
            <v>式</v>
          </cell>
          <cell r="F1954">
            <v>0.02</v>
          </cell>
          <cell r="G1954">
            <v>0.19600000000000001</v>
          </cell>
        </row>
        <row r="1955">
          <cell r="A1955">
            <v>5</v>
          </cell>
          <cell r="B1955">
            <v>5</v>
          </cell>
          <cell r="C1955" t="str">
            <v>2. 拆除</v>
          </cell>
          <cell r="E1955" t="str">
            <v>式</v>
          </cell>
          <cell r="F1955">
            <v>0</v>
          </cell>
          <cell r="G1955">
            <v>1.2E-2</v>
          </cell>
        </row>
        <row r="1956">
          <cell r="A1956">
            <v>6</v>
          </cell>
          <cell r="B1956">
            <v>7</v>
          </cell>
          <cell r="C1956" t="str">
            <v>4. 基地及路堤填築</v>
          </cell>
          <cell r="E1956" t="str">
            <v>M3</v>
          </cell>
          <cell r="F1956">
            <v>0</v>
          </cell>
          <cell r="G1956">
            <v>180</v>
          </cell>
        </row>
        <row r="1957">
          <cell r="A1957">
            <v>7</v>
          </cell>
          <cell r="B1957">
            <v>21</v>
          </cell>
          <cell r="C1957" t="str">
            <v>二. 橋梁及結構工程</v>
          </cell>
          <cell r="E1957" t="str">
            <v>*</v>
          </cell>
          <cell r="F1957" t="str">
            <v>*</v>
          </cell>
          <cell r="G1957" t="str">
            <v>*</v>
          </cell>
        </row>
        <row r="1958">
          <cell r="A1958">
            <v>8</v>
          </cell>
          <cell r="B1958">
            <v>89</v>
          </cell>
          <cell r="C1958" t="str">
            <v>68. 混凝土表面打毛(高壓水刀處理，t&gt;6mm)</v>
          </cell>
          <cell r="E1958" t="str">
            <v>M2</v>
          </cell>
          <cell r="F1958">
            <v>0</v>
          </cell>
          <cell r="G1958">
            <v>612.48</v>
          </cell>
        </row>
        <row r="1959">
          <cell r="A1959">
            <v>9</v>
          </cell>
          <cell r="B1959">
            <v>100</v>
          </cell>
          <cell r="C1959" t="str">
            <v>三. 排水工程</v>
          </cell>
          <cell r="E1959" t="str">
            <v>*</v>
          </cell>
          <cell r="F1959" t="str">
            <v>*</v>
          </cell>
          <cell r="G1959" t="str">
            <v>*</v>
          </cell>
        </row>
        <row r="1960">
          <cell r="A1960">
            <v>10</v>
          </cell>
          <cell r="B1960">
            <v>101</v>
          </cell>
          <cell r="C1960" t="str">
            <v>1. 構造物開挖</v>
          </cell>
          <cell r="E1960" t="str">
            <v>M3</v>
          </cell>
          <cell r="F1960">
            <v>0</v>
          </cell>
          <cell r="G1960">
            <v>1330</v>
          </cell>
        </row>
        <row r="1961">
          <cell r="A1961">
            <v>11</v>
          </cell>
          <cell r="B1961">
            <v>103</v>
          </cell>
          <cell r="C1961" t="str">
            <v>3. 構造物回填</v>
          </cell>
          <cell r="E1961" t="str">
            <v>M3</v>
          </cell>
          <cell r="F1961">
            <v>0</v>
          </cell>
          <cell r="G1961">
            <v>72</v>
          </cell>
        </row>
        <row r="1962">
          <cell r="A1962">
            <v>12</v>
          </cell>
          <cell r="B1962">
            <v>105</v>
          </cell>
          <cell r="C1962" t="str">
            <v>5. 混凝土，80kgf/cm2</v>
          </cell>
          <cell r="E1962" t="str">
            <v>M3</v>
          </cell>
          <cell r="F1962">
            <v>0</v>
          </cell>
          <cell r="G1962">
            <v>486.5</v>
          </cell>
        </row>
        <row r="1963">
          <cell r="A1963">
            <v>13</v>
          </cell>
          <cell r="B1963">
            <v>109</v>
          </cell>
          <cell r="C1963" t="str">
            <v>9. 軀體模板(排水工程)</v>
          </cell>
          <cell r="E1963" t="str">
            <v>M2</v>
          </cell>
          <cell r="F1963">
            <v>0</v>
          </cell>
          <cell r="G1963">
            <v>1027.4000000000001</v>
          </cell>
        </row>
        <row r="1964">
          <cell r="A1964">
            <v>14</v>
          </cell>
          <cell r="B1964">
            <v>125</v>
          </cell>
          <cell r="C1964" t="str">
            <v>四. 交通工程</v>
          </cell>
          <cell r="E1964" t="str">
            <v>*</v>
          </cell>
          <cell r="F1964" t="str">
            <v>*</v>
          </cell>
          <cell r="G1964" t="str">
            <v>*</v>
          </cell>
        </row>
        <row r="1965">
          <cell r="A1965">
            <v>15</v>
          </cell>
          <cell r="B1965">
            <v>154</v>
          </cell>
          <cell r="C1965" t="str">
            <v>五. 公路照明系統工程</v>
          </cell>
          <cell r="E1965" t="str">
            <v>*</v>
          </cell>
          <cell r="F1965" t="str">
            <v>*</v>
          </cell>
          <cell r="G1965" t="str">
            <v>*</v>
          </cell>
        </row>
        <row r="1966">
          <cell r="A1966">
            <v>16</v>
          </cell>
          <cell r="B1966">
            <v>191</v>
          </cell>
          <cell r="C1966" t="str">
            <v>六. 交控工程</v>
          </cell>
          <cell r="E1966" t="str">
            <v>*</v>
          </cell>
          <cell r="F1966" t="str">
            <v>*</v>
          </cell>
          <cell r="G1966" t="str">
            <v>*</v>
          </cell>
        </row>
        <row r="1967">
          <cell r="A1967">
            <v>17</v>
          </cell>
          <cell r="B1967">
            <v>243</v>
          </cell>
          <cell r="C1967" t="str">
            <v>七. 號誌工程</v>
          </cell>
          <cell r="E1967" t="str">
            <v>*</v>
          </cell>
          <cell r="F1967" t="str">
            <v>*</v>
          </cell>
          <cell r="G1967" t="str">
            <v>*</v>
          </cell>
        </row>
        <row r="1968">
          <cell r="A1968">
            <v>18</v>
          </cell>
          <cell r="B1968">
            <v>260</v>
          </cell>
          <cell r="C1968" t="str">
            <v>八. 大地工程</v>
          </cell>
          <cell r="E1968" t="str">
            <v>*</v>
          </cell>
          <cell r="F1968" t="str">
            <v>*</v>
          </cell>
          <cell r="G1968" t="str">
            <v>*</v>
          </cell>
        </row>
        <row r="1969">
          <cell r="A1969">
            <v>19</v>
          </cell>
          <cell r="B1969">
            <v>261</v>
          </cell>
          <cell r="C1969" t="str">
            <v>1. 鋼軌樁(8m，無水平支撐，含接樁)</v>
          </cell>
          <cell r="E1969" t="str">
            <v>M</v>
          </cell>
          <cell r="F1969">
            <v>0</v>
          </cell>
          <cell r="G1969">
            <v>132</v>
          </cell>
        </row>
        <row r="1970">
          <cell r="A1970">
            <v>20</v>
          </cell>
          <cell r="B1970">
            <v>271</v>
          </cell>
          <cell r="C1970" t="str">
            <v>九. 植栽工程</v>
          </cell>
          <cell r="E1970" t="str">
            <v>*</v>
          </cell>
          <cell r="F1970" t="str">
            <v>*</v>
          </cell>
          <cell r="G1970" t="str">
            <v>*</v>
          </cell>
        </row>
        <row r="1971">
          <cell r="A1971">
            <v>21</v>
          </cell>
          <cell r="B1971">
            <v>273</v>
          </cell>
          <cell r="C1971" t="str">
            <v>十. 雜項工程</v>
          </cell>
          <cell r="E1971" t="str">
            <v>*</v>
          </cell>
          <cell r="F1971" t="str">
            <v>*</v>
          </cell>
          <cell r="G1971" t="str">
            <v>*</v>
          </cell>
        </row>
        <row r="1972">
          <cell r="A1972">
            <v>22</v>
          </cell>
          <cell r="B1972">
            <v>275</v>
          </cell>
          <cell r="C1972" t="str">
            <v>2. 試挖</v>
          </cell>
          <cell r="E1972" t="str">
            <v>處</v>
          </cell>
          <cell r="F1972">
            <v>0</v>
          </cell>
          <cell r="G1972">
            <v>6</v>
          </cell>
        </row>
        <row r="1973">
          <cell r="A1973">
            <v>23</v>
          </cell>
          <cell r="B1973">
            <v>279</v>
          </cell>
          <cell r="C1973" t="str">
            <v>6. 工程司使用車輛(含司機)</v>
          </cell>
          <cell r="E1973" t="str">
            <v>輛月</v>
          </cell>
          <cell r="F1973">
            <v>0</v>
          </cell>
          <cell r="G1973">
            <v>1</v>
          </cell>
        </row>
        <row r="1974">
          <cell r="A1974">
            <v>24</v>
          </cell>
          <cell r="B1974">
            <v>281</v>
          </cell>
          <cell r="C1974" t="str">
            <v>8. 工地房舍用地租金</v>
          </cell>
          <cell r="E1974" t="str">
            <v>M2</v>
          </cell>
          <cell r="F1974">
            <v>0</v>
          </cell>
          <cell r="G1974">
            <v>2.1000000000000001E-2</v>
          </cell>
        </row>
        <row r="1975">
          <cell r="A1975">
            <v>25</v>
          </cell>
          <cell r="B1975">
            <v>282</v>
          </cell>
          <cell r="C1975" t="str">
            <v>乙. 自主性品管及檢(試)驗費</v>
          </cell>
          <cell r="E1975" t="str">
            <v>*</v>
          </cell>
          <cell r="F1975" t="str">
            <v>*</v>
          </cell>
          <cell r="G1975" t="str">
            <v>*</v>
          </cell>
        </row>
        <row r="1976">
          <cell r="A1976">
            <v>26</v>
          </cell>
          <cell r="B1976">
            <v>283</v>
          </cell>
          <cell r="C1976" t="str">
            <v>一. 品質管理與組織</v>
          </cell>
          <cell r="E1976" t="str">
            <v>式</v>
          </cell>
          <cell r="F1976">
            <v>0.01</v>
          </cell>
          <cell r="G1976">
            <v>0.02</v>
          </cell>
        </row>
        <row r="1977">
          <cell r="A1977">
            <v>27</v>
          </cell>
          <cell r="B1977">
            <v>284</v>
          </cell>
          <cell r="C1977" t="str">
            <v>二. 品管作業配合人員</v>
          </cell>
          <cell r="E1977" t="str">
            <v>人月</v>
          </cell>
          <cell r="F1977">
            <v>5</v>
          </cell>
          <cell r="G1977">
            <v>15</v>
          </cell>
        </row>
        <row r="1978">
          <cell r="A1978">
            <v>28</v>
          </cell>
          <cell r="B1978">
            <v>285</v>
          </cell>
          <cell r="C1978" t="str">
            <v>三. 材料試驗與檢驗</v>
          </cell>
          <cell r="E1978" t="str">
            <v>式</v>
          </cell>
          <cell r="F1978">
            <v>0.01</v>
          </cell>
          <cell r="G1978">
            <v>0.02</v>
          </cell>
        </row>
        <row r="1979">
          <cell r="A1979">
            <v>29</v>
          </cell>
          <cell r="B1979">
            <v>286</v>
          </cell>
          <cell r="C1979" t="str">
            <v>丙. 工程安全衛生設施費</v>
          </cell>
          <cell r="E1979" t="str">
            <v>*</v>
          </cell>
          <cell r="F1979" t="str">
            <v>*</v>
          </cell>
          <cell r="G1979" t="str">
            <v>*</v>
          </cell>
        </row>
        <row r="1980">
          <cell r="A1980">
            <v>30</v>
          </cell>
          <cell r="B1980">
            <v>287</v>
          </cell>
          <cell r="C1980" t="str">
            <v>一. 安全護欄</v>
          </cell>
          <cell r="E1980" t="str">
            <v>M</v>
          </cell>
          <cell r="F1980">
            <v>0</v>
          </cell>
          <cell r="G1980">
            <v>77.3</v>
          </cell>
        </row>
        <row r="1981">
          <cell r="A1981">
            <v>31</v>
          </cell>
          <cell r="B1981">
            <v>289</v>
          </cell>
          <cell r="C1981" t="str">
            <v>三. 安全防護網</v>
          </cell>
          <cell r="E1981" t="str">
            <v>M2</v>
          </cell>
          <cell r="F1981">
            <v>0</v>
          </cell>
          <cell r="G1981">
            <v>20</v>
          </cell>
        </row>
        <row r="1982">
          <cell r="A1982">
            <v>32</v>
          </cell>
          <cell r="B1982">
            <v>291</v>
          </cell>
          <cell r="C1982" t="str">
            <v>五. 工地臨時用電設備</v>
          </cell>
          <cell r="E1982" t="str">
            <v>式</v>
          </cell>
          <cell r="F1982">
            <v>0.01</v>
          </cell>
          <cell r="G1982">
            <v>3.5999999999999997E-2</v>
          </cell>
        </row>
        <row r="1983">
          <cell r="A1983">
            <v>33</v>
          </cell>
          <cell r="B1983">
            <v>293</v>
          </cell>
          <cell r="C1983" t="str">
            <v>七. 個人防護具</v>
          </cell>
          <cell r="E1983" t="str">
            <v>式</v>
          </cell>
          <cell r="F1983">
            <v>0.01</v>
          </cell>
          <cell r="G1983">
            <v>3.5999999999999997E-2</v>
          </cell>
        </row>
        <row r="1984">
          <cell r="A1984">
            <v>34</v>
          </cell>
          <cell r="B1984">
            <v>294</v>
          </cell>
          <cell r="C1984" t="str">
            <v>八. 消防設備</v>
          </cell>
          <cell r="E1984" t="str">
            <v>式</v>
          </cell>
          <cell r="F1984">
            <v>0.01</v>
          </cell>
          <cell r="G1984">
            <v>3.5999999999999997E-2</v>
          </cell>
        </row>
        <row r="1985">
          <cell r="A1985">
            <v>35</v>
          </cell>
          <cell r="B1985">
            <v>295</v>
          </cell>
          <cell r="C1985" t="str">
            <v>九. 急救設備</v>
          </cell>
          <cell r="E1985" t="str">
            <v>式</v>
          </cell>
          <cell r="F1985">
            <v>0.01</v>
          </cell>
          <cell r="G1985">
            <v>3.5999999999999997E-2</v>
          </cell>
        </row>
        <row r="1986">
          <cell r="A1986">
            <v>36</v>
          </cell>
          <cell r="B1986">
            <v>296</v>
          </cell>
          <cell r="C1986" t="str">
            <v>十. 臨時活動廁所</v>
          </cell>
          <cell r="E1986" t="str">
            <v>座</v>
          </cell>
          <cell r="F1986">
            <v>0</v>
          </cell>
          <cell r="G1986">
            <v>2</v>
          </cell>
        </row>
        <row r="1987">
          <cell r="A1987">
            <v>37</v>
          </cell>
          <cell r="B1987">
            <v>297</v>
          </cell>
          <cell r="C1987" t="str">
            <v>十一. 防漏電及感電設施</v>
          </cell>
          <cell r="E1987" t="str">
            <v>式</v>
          </cell>
          <cell r="F1987">
            <v>0.01</v>
          </cell>
          <cell r="G1987">
            <v>3.5999999999999997E-2</v>
          </cell>
        </row>
        <row r="1988">
          <cell r="A1988">
            <v>38</v>
          </cell>
          <cell r="B1988">
            <v>298</v>
          </cell>
          <cell r="C1988" t="str">
            <v>十二. 安衛管理及其他安衛措施</v>
          </cell>
          <cell r="E1988" t="str">
            <v>式</v>
          </cell>
          <cell r="F1988">
            <v>0.01</v>
          </cell>
          <cell r="G1988">
            <v>3.5999999999999997E-2</v>
          </cell>
        </row>
        <row r="1989">
          <cell r="A1989">
            <v>39</v>
          </cell>
          <cell r="B1989">
            <v>299</v>
          </cell>
          <cell r="C1989" t="str">
            <v>丁. 交通維持設施費</v>
          </cell>
          <cell r="E1989" t="str">
            <v>*</v>
          </cell>
          <cell r="F1989" t="str">
            <v>*</v>
          </cell>
          <cell r="G1989" t="str">
            <v>*</v>
          </cell>
        </row>
        <row r="1990">
          <cell r="A1990">
            <v>40</v>
          </cell>
          <cell r="B1990">
            <v>301</v>
          </cell>
          <cell r="C1990" t="str">
            <v>二. 施工標誌</v>
          </cell>
          <cell r="E1990" t="str">
            <v>處</v>
          </cell>
          <cell r="F1990">
            <v>0</v>
          </cell>
          <cell r="G1990">
            <v>1</v>
          </cell>
        </row>
        <row r="1991">
          <cell r="A1991">
            <v>41</v>
          </cell>
          <cell r="B1991">
            <v>302</v>
          </cell>
          <cell r="C1991" t="str">
            <v>三. 標誌車</v>
          </cell>
          <cell r="E1991" t="str">
            <v>月</v>
          </cell>
          <cell r="F1991">
            <v>4</v>
          </cell>
          <cell r="G1991">
            <v>7</v>
          </cell>
        </row>
        <row r="1992">
          <cell r="A1992">
            <v>42</v>
          </cell>
          <cell r="B1992">
            <v>303</v>
          </cell>
          <cell r="C1992" t="str">
            <v>四. 交通錐</v>
          </cell>
          <cell r="E1992" t="str">
            <v>個</v>
          </cell>
          <cell r="F1992">
            <v>0</v>
          </cell>
          <cell r="G1992">
            <v>500</v>
          </cell>
        </row>
        <row r="1993">
          <cell r="A1993">
            <v>43</v>
          </cell>
          <cell r="B1993">
            <v>305</v>
          </cell>
          <cell r="C1993" t="str">
            <v>六. 旗手</v>
          </cell>
          <cell r="E1993" t="str">
            <v>人月</v>
          </cell>
          <cell r="F1993">
            <v>2</v>
          </cell>
          <cell r="G1993">
            <v>5</v>
          </cell>
        </row>
        <row r="1994">
          <cell r="A1994">
            <v>44</v>
          </cell>
          <cell r="B1994">
            <v>306</v>
          </cell>
          <cell r="C1994" t="str">
            <v>七. 活動型拒馬(附警告燈)</v>
          </cell>
          <cell r="E1994" t="str">
            <v>座</v>
          </cell>
          <cell r="F1994">
            <v>0</v>
          </cell>
          <cell r="G1994">
            <v>1</v>
          </cell>
        </row>
        <row r="1995">
          <cell r="A1995">
            <v>45</v>
          </cell>
          <cell r="B1995">
            <v>316</v>
          </cell>
          <cell r="C1995" t="str">
            <v>十七. 施工護欄移位</v>
          </cell>
          <cell r="E1995" t="str">
            <v>塊次</v>
          </cell>
          <cell r="F1995">
            <v>0</v>
          </cell>
          <cell r="G1995">
            <v>12</v>
          </cell>
        </row>
        <row r="1996">
          <cell r="A1996">
            <v>46</v>
          </cell>
          <cell r="B1996">
            <v>322</v>
          </cell>
          <cell r="C1996" t="str">
            <v>二十三. 鐵扇門</v>
          </cell>
          <cell r="E1996" t="str">
            <v>組</v>
          </cell>
          <cell r="F1996">
            <v>0</v>
          </cell>
          <cell r="G1996">
            <v>2</v>
          </cell>
        </row>
        <row r="1997">
          <cell r="A1997">
            <v>47</v>
          </cell>
          <cell r="B1997">
            <v>323</v>
          </cell>
          <cell r="C1997" t="str">
            <v>二十四. 鋼板圍籬(H=2.4m)</v>
          </cell>
          <cell r="E1997" t="str">
            <v>M</v>
          </cell>
          <cell r="F1997">
            <v>0</v>
          </cell>
          <cell r="G1997">
            <v>1190.75</v>
          </cell>
        </row>
        <row r="1998">
          <cell r="A1998">
            <v>48</v>
          </cell>
          <cell r="B1998">
            <v>324</v>
          </cell>
          <cell r="C1998" t="str">
            <v>二十五. 鐵絲網圍籬(H=2.4m)</v>
          </cell>
          <cell r="E1998" t="str">
            <v>M</v>
          </cell>
          <cell r="F1998">
            <v>0</v>
          </cell>
          <cell r="G1998">
            <v>594</v>
          </cell>
        </row>
        <row r="1999">
          <cell r="A1999">
            <v>49</v>
          </cell>
          <cell r="B1999">
            <v>325</v>
          </cell>
          <cell r="C1999" t="str">
            <v>二十六. 臨時標誌牌面</v>
          </cell>
          <cell r="E1999" t="str">
            <v>M2</v>
          </cell>
          <cell r="F1999">
            <v>0</v>
          </cell>
          <cell r="G1999">
            <v>12.07</v>
          </cell>
        </row>
        <row r="2000">
          <cell r="A2000">
            <v>50</v>
          </cell>
          <cell r="B2000">
            <v>326</v>
          </cell>
          <cell r="C2000" t="str">
            <v>二十七. 臨時標誌柱桿</v>
          </cell>
          <cell r="E2000" t="str">
            <v>M</v>
          </cell>
          <cell r="F2000">
            <v>0</v>
          </cell>
          <cell r="G2000">
            <v>15</v>
          </cell>
        </row>
        <row r="2001">
          <cell r="A2001">
            <v>51</v>
          </cell>
          <cell r="B2001">
            <v>337</v>
          </cell>
          <cell r="C2001" t="str">
            <v>戊. 環境保護措施費</v>
          </cell>
          <cell r="E2001" t="str">
            <v>*</v>
          </cell>
          <cell r="F2001" t="str">
            <v>*</v>
          </cell>
          <cell r="G2001" t="str">
            <v>*</v>
          </cell>
        </row>
        <row r="2002">
          <cell r="A2002">
            <v>52</v>
          </cell>
          <cell r="B2002">
            <v>338</v>
          </cell>
          <cell r="C2002" t="str">
            <v>一. 施工便道及運輸道路灑水</v>
          </cell>
          <cell r="E2002" t="str">
            <v>式</v>
          </cell>
          <cell r="F2002">
            <v>0.01</v>
          </cell>
          <cell r="G2002">
            <v>3.5999999999999997E-2</v>
          </cell>
        </row>
        <row r="2003">
          <cell r="A2003">
            <v>53</v>
          </cell>
          <cell r="B2003">
            <v>339</v>
          </cell>
          <cell r="C2003" t="str">
            <v>二. 工區臨近道路維護清理</v>
          </cell>
          <cell r="E2003" t="str">
            <v>式</v>
          </cell>
          <cell r="F2003">
            <v>0.01</v>
          </cell>
          <cell r="G2003">
            <v>3.5999999999999997E-2</v>
          </cell>
        </row>
        <row r="2004">
          <cell r="A2004">
            <v>54</v>
          </cell>
          <cell r="B2004">
            <v>341</v>
          </cell>
          <cell r="C2004" t="str">
            <v>四. 工區鄰近既有灌排水路清理</v>
          </cell>
          <cell r="E2004" t="str">
            <v>式</v>
          </cell>
          <cell r="F2004">
            <v>0.01</v>
          </cell>
          <cell r="G2004">
            <v>3.5999999999999997E-2</v>
          </cell>
        </row>
        <row r="2005">
          <cell r="A2005">
            <v>55</v>
          </cell>
          <cell r="B2005">
            <v>343</v>
          </cell>
          <cell r="C2005" t="str">
            <v>六. 環境管理監視費</v>
          </cell>
          <cell r="E2005" t="str">
            <v>式</v>
          </cell>
          <cell r="F2005">
            <v>0.01</v>
          </cell>
          <cell r="G2005">
            <v>3.5999999999999997E-2</v>
          </cell>
        </row>
        <row r="2006">
          <cell r="A2006">
            <v>56</v>
          </cell>
          <cell r="B2006">
            <v>344</v>
          </cell>
          <cell r="C2006" t="str">
            <v>七. 其他環境保護措施</v>
          </cell>
          <cell r="E2006" t="str">
            <v>式</v>
          </cell>
          <cell r="F2006">
            <v>0.01</v>
          </cell>
          <cell r="G2006">
            <v>3.5999999999999997E-2</v>
          </cell>
        </row>
        <row r="2007">
          <cell r="A2007">
            <v>57</v>
          </cell>
          <cell r="B2007">
            <v>345</v>
          </cell>
          <cell r="C2007" t="str">
            <v>己. 運輸道路維護費</v>
          </cell>
          <cell r="E2007" t="str">
            <v>*</v>
          </cell>
          <cell r="F2007" t="str">
            <v>*</v>
          </cell>
          <cell r="G2007" t="str">
            <v>*</v>
          </cell>
        </row>
        <row r="2008">
          <cell r="A2008">
            <v>58</v>
          </cell>
          <cell r="B2008">
            <v>349</v>
          </cell>
          <cell r="C2008" t="str">
            <v>庚. 按日計酬部分(按實際數量計價)</v>
          </cell>
          <cell r="E2008" t="str">
            <v>*</v>
          </cell>
          <cell r="F2008" t="str">
            <v>*</v>
          </cell>
          <cell r="G2008" t="str">
            <v>*</v>
          </cell>
        </row>
        <row r="2009">
          <cell r="A2009">
            <v>59</v>
          </cell>
          <cell r="B2009">
            <v>350</v>
          </cell>
          <cell r="C2009" t="str">
            <v>一. 按日計酬人工費</v>
          </cell>
          <cell r="E2009" t="str">
            <v>*</v>
          </cell>
          <cell r="F2009" t="str">
            <v>*</v>
          </cell>
          <cell r="G2009" t="str">
            <v>*</v>
          </cell>
        </row>
        <row r="2010">
          <cell r="A2010">
            <v>60</v>
          </cell>
          <cell r="B2010">
            <v>359</v>
          </cell>
          <cell r="C2010" t="str">
            <v>二. 按日計酬材料費</v>
          </cell>
          <cell r="E2010" t="str">
            <v>*</v>
          </cell>
          <cell r="F2010" t="str">
            <v>*</v>
          </cell>
          <cell r="G2010" t="str">
            <v>*</v>
          </cell>
        </row>
        <row r="2011">
          <cell r="A2011">
            <v>61</v>
          </cell>
          <cell r="B2011">
            <v>374</v>
          </cell>
          <cell r="C2011" t="str">
            <v>三. 按日計酬機具費</v>
          </cell>
          <cell r="E2011" t="str">
            <v>*</v>
          </cell>
          <cell r="F2011" t="str">
            <v>*</v>
          </cell>
          <cell r="G2011" t="str">
            <v>*</v>
          </cell>
        </row>
        <row r="2012">
          <cell r="A2012">
            <v>62</v>
          </cell>
        </row>
        <row r="2013">
          <cell r="A2013">
            <v>63</v>
          </cell>
        </row>
        <row r="2014">
          <cell r="A2014">
            <v>64</v>
          </cell>
        </row>
        <row r="2015">
          <cell r="A2015">
            <v>65</v>
          </cell>
        </row>
        <row r="2016">
          <cell r="A2016">
            <v>66</v>
          </cell>
        </row>
        <row r="2017">
          <cell r="A2017">
            <v>67</v>
          </cell>
        </row>
        <row r="2018">
          <cell r="A2018">
            <v>68</v>
          </cell>
        </row>
        <row r="2019">
          <cell r="A2019">
            <v>69</v>
          </cell>
        </row>
        <row r="2020">
          <cell r="A2020">
            <v>70</v>
          </cell>
        </row>
        <row r="2021">
          <cell r="A2021">
            <v>71</v>
          </cell>
        </row>
        <row r="2022">
          <cell r="A2022">
            <v>72</v>
          </cell>
        </row>
        <row r="2023">
          <cell r="A2023">
            <v>73</v>
          </cell>
        </row>
        <row r="2024">
          <cell r="A2024">
            <v>74</v>
          </cell>
        </row>
        <row r="2025">
          <cell r="A2025">
            <v>75</v>
          </cell>
        </row>
        <row r="2026">
          <cell r="A2026">
            <v>76</v>
          </cell>
        </row>
        <row r="2027">
          <cell r="A2027">
            <v>77</v>
          </cell>
        </row>
        <row r="2028">
          <cell r="A2028">
            <v>78</v>
          </cell>
        </row>
        <row r="2029">
          <cell r="A2029">
            <v>79</v>
          </cell>
        </row>
        <row r="2030">
          <cell r="A2030">
            <v>80</v>
          </cell>
        </row>
        <row r="2031">
          <cell r="A2031">
            <v>81</v>
          </cell>
        </row>
        <row r="2032">
          <cell r="A2032">
            <v>82</v>
          </cell>
        </row>
        <row r="2033">
          <cell r="A2033">
            <v>83</v>
          </cell>
        </row>
        <row r="2034">
          <cell r="A2034">
            <v>84</v>
          </cell>
        </row>
        <row r="2035">
          <cell r="A2035">
            <v>85</v>
          </cell>
        </row>
        <row r="2036">
          <cell r="A2036">
            <v>86</v>
          </cell>
        </row>
        <row r="2037">
          <cell r="A2037">
            <v>87</v>
          </cell>
        </row>
        <row r="2038">
          <cell r="A2038">
            <v>88</v>
          </cell>
        </row>
        <row r="2039">
          <cell r="A2039">
            <v>89</v>
          </cell>
        </row>
        <row r="2040">
          <cell r="A2040">
            <v>90</v>
          </cell>
        </row>
        <row r="2041">
          <cell r="A2041">
            <v>91</v>
          </cell>
        </row>
        <row r="2042">
          <cell r="A2042">
            <v>92</v>
          </cell>
        </row>
        <row r="2043">
          <cell r="A2043">
            <v>93</v>
          </cell>
        </row>
        <row r="2044">
          <cell r="A2044">
            <v>94</v>
          </cell>
        </row>
        <row r="2045">
          <cell r="A2045">
            <v>95</v>
          </cell>
        </row>
        <row r="2046">
          <cell r="A2046">
            <v>96</v>
          </cell>
        </row>
        <row r="2047">
          <cell r="A2047">
            <v>97</v>
          </cell>
        </row>
        <row r="2048">
          <cell r="A2048">
            <v>98</v>
          </cell>
        </row>
        <row r="2049">
          <cell r="A2049">
            <v>99</v>
          </cell>
        </row>
        <row r="2050">
          <cell r="A2050">
            <v>100</v>
          </cell>
        </row>
        <row r="2051">
          <cell r="A2051">
            <v>101</v>
          </cell>
        </row>
        <row r="2052">
          <cell r="A2052">
            <v>102</v>
          </cell>
        </row>
        <row r="2053">
          <cell r="A2053">
            <v>103</v>
          </cell>
        </row>
        <row r="2054">
          <cell r="A2054">
            <v>104</v>
          </cell>
        </row>
        <row r="2055">
          <cell r="A2055">
            <v>105</v>
          </cell>
        </row>
        <row r="2056">
          <cell r="A2056">
            <v>106</v>
          </cell>
        </row>
        <row r="2057">
          <cell r="A2057">
            <v>107</v>
          </cell>
        </row>
        <row r="2058">
          <cell r="A2058">
            <v>108</v>
          </cell>
        </row>
        <row r="2059">
          <cell r="A2059">
            <v>109</v>
          </cell>
        </row>
        <row r="2060">
          <cell r="A2060">
            <v>110</v>
          </cell>
        </row>
        <row r="2061">
          <cell r="A2061">
            <v>111</v>
          </cell>
        </row>
        <row r="2062">
          <cell r="A2062">
            <v>112</v>
          </cell>
        </row>
        <row r="2063">
          <cell r="A2063">
            <v>113</v>
          </cell>
        </row>
        <row r="2064">
          <cell r="A2064">
            <v>114</v>
          </cell>
        </row>
        <row r="2065">
          <cell r="A2065">
            <v>115</v>
          </cell>
        </row>
        <row r="2066">
          <cell r="A2066">
            <v>116</v>
          </cell>
        </row>
        <row r="2067">
          <cell r="A2067">
            <v>117</v>
          </cell>
        </row>
        <row r="2068">
          <cell r="A2068">
            <v>118</v>
          </cell>
        </row>
        <row r="2069">
          <cell r="A2069">
            <v>119</v>
          </cell>
        </row>
        <row r="2070">
          <cell r="A2070">
            <v>120</v>
          </cell>
        </row>
        <row r="2071">
          <cell r="A2071">
            <v>121</v>
          </cell>
        </row>
        <row r="2072">
          <cell r="A2072">
            <v>122</v>
          </cell>
        </row>
        <row r="2073">
          <cell r="A2073">
            <v>123</v>
          </cell>
        </row>
        <row r="2074">
          <cell r="A2074">
            <v>124</v>
          </cell>
        </row>
        <row r="2075">
          <cell r="A2075">
            <v>125</v>
          </cell>
        </row>
        <row r="2076">
          <cell r="A2076">
            <v>126</v>
          </cell>
        </row>
        <row r="2077">
          <cell r="A2077">
            <v>127</v>
          </cell>
        </row>
        <row r="2078">
          <cell r="A2078">
            <v>128</v>
          </cell>
        </row>
        <row r="2079">
          <cell r="A2079">
            <v>129</v>
          </cell>
        </row>
        <row r="2080">
          <cell r="A2080">
            <v>130</v>
          </cell>
        </row>
        <row r="2081">
          <cell r="A2081">
            <v>131</v>
          </cell>
        </row>
        <row r="2082">
          <cell r="A2082">
            <v>132</v>
          </cell>
        </row>
        <row r="2083">
          <cell r="A2083">
            <v>133</v>
          </cell>
        </row>
        <row r="2084">
          <cell r="A2084">
            <v>134</v>
          </cell>
        </row>
        <row r="2085">
          <cell r="A2085">
            <v>135</v>
          </cell>
        </row>
        <row r="2086">
          <cell r="A2086">
            <v>136</v>
          </cell>
        </row>
        <row r="2087">
          <cell r="A2087">
            <v>137</v>
          </cell>
        </row>
        <row r="2088">
          <cell r="A2088">
            <v>138</v>
          </cell>
        </row>
        <row r="2089">
          <cell r="A2089">
            <v>139</v>
          </cell>
        </row>
        <row r="2090">
          <cell r="A2090">
            <v>140</v>
          </cell>
        </row>
        <row r="2091">
          <cell r="A2091">
            <v>141</v>
          </cell>
        </row>
        <row r="2092">
          <cell r="A2092">
            <v>142</v>
          </cell>
        </row>
        <row r="2093">
          <cell r="A2093">
            <v>143</v>
          </cell>
        </row>
        <row r="2094">
          <cell r="A2094">
            <v>144</v>
          </cell>
        </row>
        <row r="2095">
          <cell r="A2095">
            <v>145</v>
          </cell>
        </row>
        <row r="2096">
          <cell r="A2096">
            <v>146</v>
          </cell>
        </row>
        <row r="2097">
          <cell r="A2097">
            <v>147</v>
          </cell>
        </row>
        <row r="2098">
          <cell r="A2098">
            <v>148</v>
          </cell>
        </row>
        <row r="2099">
          <cell r="A2099">
            <v>149</v>
          </cell>
        </row>
        <row r="2100">
          <cell r="A2100">
            <v>150</v>
          </cell>
        </row>
        <row r="2101">
          <cell r="A2101">
            <v>151</v>
          </cell>
        </row>
        <row r="2102">
          <cell r="A2102">
            <v>152</v>
          </cell>
        </row>
        <row r="2103">
          <cell r="A2103">
            <v>153</v>
          </cell>
        </row>
        <row r="2104">
          <cell r="A2104">
            <v>154</v>
          </cell>
        </row>
        <row r="2105">
          <cell r="A2105">
            <v>155</v>
          </cell>
        </row>
        <row r="2106">
          <cell r="A2106">
            <v>156</v>
          </cell>
        </row>
        <row r="2107">
          <cell r="A2107">
            <v>157</v>
          </cell>
        </row>
        <row r="2108">
          <cell r="A2108">
            <v>158</v>
          </cell>
        </row>
        <row r="2109">
          <cell r="A2109">
            <v>159</v>
          </cell>
        </row>
        <row r="2110">
          <cell r="A2110">
            <v>160</v>
          </cell>
        </row>
        <row r="2111">
          <cell r="A2111">
            <v>161</v>
          </cell>
        </row>
        <row r="2112">
          <cell r="A2112">
            <v>162</v>
          </cell>
        </row>
        <row r="2113">
          <cell r="A2113">
            <v>163</v>
          </cell>
        </row>
        <row r="2114">
          <cell r="A2114">
            <v>164</v>
          </cell>
        </row>
        <row r="2115">
          <cell r="A2115">
            <v>165</v>
          </cell>
        </row>
        <row r="2116">
          <cell r="A2116">
            <v>166</v>
          </cell>
        </row>
        <row r="2117">
          <cell r="A2117">
            <v>167</v>
          </cell>
        </row>
        <row r="2118">
          <cell r="A2118">
            <v>168</v>
          </cell>
        </row>
        <row r="2119">
          <cell r="A2119">
            <v>169</v>
          </cell>
        </row>
        <row r="2120">
          <cell r="A2120">
            <v>170</v>
          </cell>
        </row>
        <row r="2121">
          <cell r="A2121">
            <v>171</v>
          </cell>
        </row>
        <row r="2122">
          <cell r="A2122">
            <v>172</v>
          </cell>
        </row>
        <row r="2123">
          <cell r="A2123">
            <v>173</v>
          </cell>
        </row>
        <row r="2124">
          <cell r="A2124">
            <v>174</v>
          </cell>
        </row>
        <row r="2125">
          <cell r="A2125">
            <v>175</v>
          </cell>
        </row>
        <row r="2126">
          <cell r="A2126">
            <v>176</v>
          </cell>
        </row>
        <row r="2127">
          <cell r="A2127">
            <v>177</v>
          </cell>
        </row>
        <row r="2128">
          <cell r="A2128">
            <v>178</v>
          </cell>
        </row>
        <row r="2129">
          <cell r="A2129">
            <v>179</v>
          </cell>
        </row>
        <row r="2130">
          <cell r="A2130">
            <v>180</v>
          </cell>
        </row>
        <row r="2131">
          <cell r="A2131">
            <v>181</v>
          </cell>
        </row>
        <row r="2132">
          <cell r="A2132">
            <v>182</v>
          </cell>
        </row>
        <row r="2133">
          <cell r="A2133">
            <v>183</v>
          </cell>
        </row>
        <row r="2134">
          <cell r="A2134">
            <v>184</v>
          </cell>
        </row>
        <row r="2135">
          <cell r="A2135">
            <v>185</v>
          </cell>
        </row>
        <row r="2136">
          <cell r="A2136">
            <v>186</v>
          </cell>
        </row>
        <row r="2137">
          <cell r="A2137">
            <v>187</v>
          </cell>
        </row>
        <row r="2138">
          <cell r="A2138">
            <v>188</v>
          </cell>
        </row>
        <row r="2139">
          <cell r="A2139">
            <v>189</v>
          </cell>
        </row>
        <row r="2140">
          <cell r="A2140">
            <v>190</v>
          </cell>
        </row>
        <row r="2141">
          <cell r="A2141">
            <v>191</v>
          </cell>
        </row>
        <row r="2142">
          <cell r="A2142">
            <v>192</v>
          </cell>
        </row>
        <row r="2143">
          <cell r="A2143">
            <v>193</v>
          </cell>
        </row>
        <row r="2144">
          <cell r="A2144">
            <v>194</v>
          </cell>
        </row>
        <row r="2145">
          <cell r="A2145">
            <v>195</v>
          </cell>
        </row>
        <row r="2146">
          <cell r="A2146">
            <v>196</v>
          </cell>
        </row>
        <row r="2147">
          <cell r="A2147">
            <v>197</v>
          </cell>
        </row>
        <row r="2148">
          <cell r="A2148">
            <v>198</v>
          </cell>
        </row>
        <row r="2149">
          <cell r="A2149">
            <v>199</v>
          </cell>
        </row>
        <row r="2150">
          <cell r="A2150">
            <v>200</v>
          </cell>
        </row>
        <row r="2151">
          <cell r="A2151">
            <v>201</v>
          </cell>
        </row>
        <row r="2152">
          <cell r="A2152">
            <v>202</v>
          </cell>
        </row>
        <row r="2153">
          <cell r="A2153">
            <v>203</v>
          </cell>
        </row>
        <row r="2154">
          <cell r="A2154">
            <v>204</v>
          </cell>
        </row>
        <row r="2155">
          <cell r="A2155">
            <v>205</v>
          </cell>
        </row>
        <row r="2156">
          <cell r="A2156">
            <v>206</v>
          </cell>
        </row>
        <row r="2157">
          <cell r="A2157">
            <v>207</v>
          </cell>
        </row>
        <row r="2158">
          <cell r="A2158">
            <v>208</v>
          </cell>
        </row>
        <row r="2159">
          <cell r="A2159">
            <v>209</v>
          </cell>
        </row>
        <row r="2160">
          <cell r="A2160">
            <v>210</v>
          </cell>
        </row>
        <row r="2161">
          <cell r="A2161">
            <v>211</v>
          </cell>
        </row>
        <row r="2162">
          <cell r="A2162">
            <v>212</v>
          </cell>
        </row>
        <row r="2163">
          <cell r="A2163">
            <v>213</v>
          </cell>
        </row>
        <row r="2164">
          <cell r="A2164">
            <v>214</v>
          </cell>
        </row>
        <row r="2165">
          <cell r="A2165">
            <v>215</v>
          </cell>
        </row>
        <row r="2166">
          <cell r="A2166">
            <v>216</v>
          </cell>
        </row>
        <row r="2167">
          <cell r="A2167">
            <v>217</v>
          </cell>
        </row>
        <row r="2168">
          <cell r="A2168">
            <v>218</v>
          </cell>
        </row>
        <row r="2169">
          <cell r="A2169">
            <v>219</v>
          </cell>
        </row>
        <row r="2170">
          <cell r="A2170">
            <v>220</v>
          </cell>
        </row>
        <row r="2171">
          <cell r="A2171">
            <v>221</v>
          </cell>
        </row>
        <row r="2172">
          <cell r="A2172">
            <v>222</v>
          </cell>
        </row>
        <row r="2173">
          <cell r="A2173">
            <v>223</v>
          </cell>
        </row>
        <row r="2174">
          <cell r="A2174">
            <v>224</v>
          </cell>
        </row>
        <row r="2175">
          <cell r="A2175">
            <v>225</v>
          </cell>
        </row>
        <row r="2176">
          <cell r="A2176">
            <v>226</v>
          </cell>
        </row>
        <row r="2177">
          <cell r="A2177">
            <v>227</v>
          </cell>
        </row>
        <row r="2178">
          <cell r="A2178">
            <v>228</v>
          </cell>
        </row>
        <row r="2179">
          <cell r="A2179">
            <v>229</v>
          </cell>
        </row>
        <row r="2180">
          <cell r="A2180">
            <v>230</v>
          </cell>
        </row>
        <row r="2181">
          <cell r="A2181">
            <v>231</v>
          </cell>
        </row>
        <row r="2182">
          <cell r="A2182">
            <v>232</v>
          </cell>
        </row>
        <row r="2183">
          <cell r="A2183">
            <v>233</v>
          </cell>
        </row>
        <row r="2184">
          <cell r="A2184">
            <v>234</v>
          </cell>
        </row>
        <row r="2185">
          <cell r="A2185">
            <v>235</v>
          </cell>
        </row>
        <row r="2186">
          <cell r="A2186">
            <v>236</v>
          </cell>
        </row>
        <row r="2187">
          <cell r="A2187">
            <v>237</v>
          </cell>
        </row>
        <row r="2188">
          <cell r="A2188">
            <v>238</v>
          </cell>
        </row>
        <row r="2189">
          <cell r="A2189">
            <v>239</v>
          </cell>
        </row>
        <row r="2190">
          <cell r="A2190">
            <v>240</v>
          </cell>
        </row>
        <row r="2191">
          <cell r="A2191">
            <v>241</v>
          </cell>
        </row>
        <row r="2192">
          <cell r="A2192">
            <v>242</v>
          </cell>
        </row>
        <row r="2193">
          <cell r="A2193">
            <v>243</v>
          </cell>
        </row>
        <row r="2194">
          <cell r="A2194">
            <v>244</v>
          </cell>
        </row>
        <row r="2195">
          <cell r="A2195">
            <v>245</v>
          </cell>
        </row>
        <row r="2196">
          <cell r="A2196">
            <v>246</v>
          </cell>
        </row>
        <row r="2197">
          <cell r="A2197">
            <v>247</v>
          </cell>
        </row>
        <row r="2198">
          <cell r="A2198">
            <v>248</v>
          </cell>
        </row>
        <row r="2199">
          <cell r="A2199">
            <v>249</v>
          </cell>
        </row>
        <row r="2200">
          <cell r="A2200">
            <v>250</v>
          </cell>
        </row>
        <row r="2201">
          <cell r="A2201">
            <v>251</v>
          </cell>
        </row>
        <row r="2202">
          <cell r="A2202">
            <v>252</v>
          </cell>
        </row>
        <row r="2203">
          <cell r="A2203">
            <v>253</v>
          </cell>
        </row>
        <row r="2204">
          <cell r="A2204">
            <v>254</v>
          </cell>
        </row>
        <row r="2205">
          <cell r="A2205">
            <v>255</v>
          </cell>
        </row>
        <row r="2206">
          <cell r="A2206">
            <v>256</v>
          </cell>
        </row>
        <row r="2207">
          <cell r="A2207">
            <v>257</v>
          </cell>
        </row>
        <row r="2208">
          <cell r="A2208">
            <v>258</v>
          </cell>
        </row>
        <row r="2209">
          <cell r="A2209">
            <v>259</v>
          </cell>
        </row>
        <row r="2210">
          <cell r="A2210">
            <v>260</v>
          </cell>
        </row>
        <row r="2211">
          <cell r="A2211">
            <v>261</v>
          </cell>
        </row>
        <row r="2212">
          <cell r="A2212">
            <v>262</v>
          </cell>
        </row>
        <row r="2213">
          <cell r="A2213">
            <v>263</v>
          </cell>
        </row>
        <row r="2214">
          <cell r="A2214">
            <v>264</v>
          </cell>
        </row>
        <row r="2215">
          <cell r="A2215">
            <v>265</v>
          </cell>
        </row>
        <row r="2216">
          <cell r="A2216">
            <v>266</v>
          </cell>
        </row>
        <row r="2217">
          <cell r="A2217">
            <v>267</v>
          </cell>
        </row>
        <row r="2218">
          <cell r="A2218">
            <v>268</v>
          </cell>
        </row>
        <row r="2219">
          <cell r="A2219">
            <v>269</v>
          </cell>
        </row>
        <row r="2220">
          <cell r="A2220">
            <v>270</v>
          </cell>
        </row>
        <row r="2221">
          <cell r="A2221">
            <v>271</v>
          </cell>
        </row>
        <row r="2222">
          <cell r="A2222">
            <v>272</v>
          </cell>
        </row>
        <row r="2223">
          <cell r="A2223">
            <v>273</v>
          </cell>
        </row>
        <row r="2224">
          <cell r="A2224">
            <v>274</v>
          </cell>
        </row>
        <row r="2225">
          <cell r="A2225">
            <v>275</v>
          </cell>
        </row>
        <row r="2226">
          <cell r="A2226">
            <v>276</v>
          </cell>
        </row>
        <row r="2227">
          <cell r="A2227">
            <v>277</v>
          </cell>
        </row>
        <row r="2228">
          <cell r="A2228">
            <v>278</v>
          </cell>
        </row>
        <row r="2229">
          <cell r="A2229">
            <v>279</v>
          </cell>
        </row>
        <row r="2230">
          <cell r="A2230">
            <v>280</v>
          </cell>
        </row>
        <row r="2231">
          <cell r="A2231">
            <v>281</v>
          </cell>
        </row>
        <row r="2232">
          <cell r="A2232">
            <v>282</v>
          </cell>
        </row>
        <row r="2233">
          <cell r="A2233">
            <v>283</v>
          </cell>
        </row>
        <row r="2234">
          <cell r="A2234">
            <v>284</v>
          </cell>
        </row>
        <row r="2235">
          <cell r="A2235">
            <v>285</v>
          </cell>
        </row>
        <row r="2236">
          <cell r="A2236">
            <v>286</v>
          </cell>
        </row>
        <row r="2237">
          <cell r="A2237">
            <v>287</v>
          </cell>
        </row>
        <row r="2238">
          <cell r="A2238">
            <v>288</v>
          </cell>
        </row>
        <row r="2239">
          <cell r="A2239">
            <v>289</v>
          </cell>
        </row>
        <row r="2240">
          <cell r="A2240">
            <v>290</v>
          </cell>
        </row>
        <row r="2241">
          <cell r="A2241">
            <v>291</v>
          </cell>
        </row>
        <row r="2242">
          <cell r="A2242">
            <v>292</v>
          </cell>
        </row>
        <row r="2243">
          <cell r="A2243">
            <v>293</v>
          </cell>
        </row>
        <row r="2244">
          <cell r="A2244">
            <v>294</v>
          </cell>
        </row>
        <row r="2245">
          <cell r="A2245">
            <v>295</v>
          </cell>
        </row>
        <row r="2246">
          <cell r="A2246">
            <v>296</v>
          </cell>
        </row>
        <row r="2247">
          <cell r="A2247">
            <v>297</v>
          </cell>
        </row>
        <row r="2248">
          <cell r="A2248">
            <v>298</v>
          </cell>
        </row>
        <row r="2249">
          <cell r="A2249">
            <v>299</v>
          </cell>
        </row>
        <row r="2250">
          <cell r="A2250">
            <v>300</v>
          </cell>
        </row>
        <row r="2251">
          <cell r="A2251">
            <v>301</v>
          </cell>
        </row>
        <row r="2252">
          <cell r="A2252">
            <v>302</v>
          </cell>
        </row>
        <row r="2253">
          <cell r="A2253">
            <v>303</v>
          </cell>
        </row>
        <row r="2254">
          <cell r="A2254">
            <v>304</v>
          </cell>
        </row>
        <row r="2255">
          <cell r="A2255">
            <v>305</v>
          </cell>
        </row>
        <row r="2256">
          <cell r="A2256">
            <v>306</v>
          </cell>
        </row>
        <row r="2257">
          <cell r="A2257">
            <v>307</v>
          </cell>
        </row>
        <row r="2258">
          <cell r="A2258">
            <v>308</v>
          </cell>
        </row>
        <row r="2259">
          <cell r="A2259">
            <v>309</v>
          </cell>
        </row>
        <row r="2260">
          <cell r="A2260">
            <v>310</v>
          </cell>
        </row>
        <row r="2261">
          <cell r="A2261">
            <v>311</v>
          </cell>
        </row>
        <row r="2262">
          <cell r="A2262">
            <v>312</v>
          </cell>
        </row>
        <row r="2263">
          <cell r="A2263">
            <v>313</v>
          </cell>
        </row>
        <row r="2264">
          <cell r="A2264">
            <v>314</v>
          </cell>
        </row>
        <row r="2265">
          <cell r="A2265">
            <v>315</v>
          </cell>
        </row>
        <row r="2266">
          <cell r="A2266">
            <v>316</v>
          </cell>
        </row>
        <row r="2267">
          <cell r="A2267">
            <v>317</v>
          </cell>
        </row>
        <row r="2268">
          <cell r="A2268">
            <v>318</v>
          </cell>
        </row>
        <row r="2269">
          <cell r="A2269">
            <v>319</v>
          </cell>
        </row>
        <row r="2270">
          <cell r="A2270">
            <v>320</v>
          </cell>
        </row>
        <row r="2271">
          <cell r="A2271">
            <v>321</v>
          </cell>
        </row>
        <row r="2272">
          <cell r="A2272">
            <v>322</v>
          </cell>
        </row>
        <row r="2273">
          <cell r="A2273">
            <v>323</v>
          </cell>
        </row>
        <row r="2274">
          <cell r="A2274">
            <v>324</v>
          </cell>
        </row>
        <row r="2275">
          <cell r="A2275">
            <v>325</v>
          </cell>
        </row>
        <row r="2276">
          <cell r="A2276">
            <v>326</v>
          </cell>
        </row>
        <row r="2277">
          <cell r="A2277">
            <v>327</v>
          </cell>
        </row>
        <row r="2278">
          <cell r="A2278">
            <v>328</v>
          </cell>
        </row>
        <row r="2279">
          <cell r="A2279">
            <v>329</v>
          </cell>
        </row>
        <row r="2280">
          <cell r="A2280">
            <v>330</v>
          </cell>
        </row>
        <row r="2281">
          <cell r="A2281">
            <v>331</v>
          </cell>
        </row>
        <row r="2282">
          <cell r="A2282">
            <v>332</v>
          </cell>
        </row>
        <row r="2283">
          <cell r="A2283">
            <v>333</v>
          </cell>
        </row>
        <row r="2284">
          <cell r="A2284">
            <v>334</v>
          </cell>
        </row>
        <row r="2285">
          <cell r="A2285">
            <v>335</v>
          </cell>
        </row>
        <row r="2286">
          <cell r="A2286">
            <v>336</v>
          </cell>
        </row>
        <row r="2287">
          <cell r="A2287">
            <v>337</v>
          </cell>
        </row>
        <row r="2288">
          <cell r="A2288">
            <v>338</v>
          </cell>
        </row>
        <row r="2289">
          <cell r="A2289">
            <v>339</v>
          </cell>
        </row>
        <row r="2290">
          <cell r="A2290">
            <v>340</v>
          </cell>
        </row>
        <row r="2291">
          <cell r="A2291">
            <v>341</v>
          </cell>
        </row>
        <row r="2292">
          <cell r="A2292">
            <v>342</v>
          </cell>
        </row>
        <row r="2293">
          <cell r="A2293">
            <v>343</v>
          </cell>
        </row>
        <row r="2294">
          <cell r="A2294">
            <v>344</v>
          </cell>
        </row>
        <row r="2295">
          <cell r="A2295">
            <v>345</v>
          </cell>
        </row>
        <row r="2296">
          <cell r="A2296">
            <v>346</v>
          </cell>
        </row>
        <row r="2297">
          <cell r="A2297">
            <v>347</v>
          </cell>
        </row>
        <row r="2298">
          <cell r="A2298">
            <v>348</v>
          </cell>
        </row>
        <row r="2299">
          <cell r="A2299">
            <v>349</v>
          </cell>
        </row>
        <row r="2300">
          <cell r="A2300">
            <v>350</v>
          </cell>
        </row>
        <row r="2301">
          <cell r="A2301">
            <v>351</v>
          </cell>
        </row>
        <row r="2302">
          <cell r="A2302">
            <v>352</v>
          </cell>
        </row>
        <row r="2303">
          <cell r="A2303">
            <v>353</v>
          </cell>
        </row>
        <row r="2304">
          <cell r="A2304">
            <v>354</v>
          </cell>
        </row>
        <row r="2305">
          <cell r="A2305">
            <v>355</v>
          </cell>
        </row>
        <row r="2306">
          <cell r="A2306">
            <v>356</v>
          </cell>
        </row>
        <row r="2307">
          <cell r="A2307">
            <v>357</v>
          </cell>
        </row>
        <row r="2308">
          <cell r="A2308">
            <v>358</v>
          </cell>
        </row>
        <row r="2309">
          <cell r="A2309">
            <v>359</v>
          </cell>
        </row>
        <row r="2310">
          <cell r="A2310">
            <v>360</v>
          </cell>
        </row>
        <row r="2311">
          <cell r="A2311">
            <v>361</v>
          </cell>
        </row>
        <row r="2312">
          <cell r="A2312">
            <v>362</v>
          </cell>
        </row>
        <row r="2313">
          <cell r="A2313">
            <v>363</v>
          </cell>
        </row>
        <row r="2314">
          <cell r="A2314">
            <v>364</v>
          </cell>
        </row>
        <row r="2315">
          <cell r="A2315">
            <v>365</v>
          </cell>
        </row>
        <row r="2316">
          <cell r="A2316">
            <v>366</v>
          </cell>
        </row>
        <row r="2317">
          <cell r="A2317">
            <v>367</v>
          </cell>
        </row>
        <row r="2318">
          <cell r="A2318">
            <v>368</v>
          </cell>
        </row>
        <row r="2319">
          <cell r="A2319">
            <v>369</v>
          </cell>
        </row>
        <row r="2320">
          <cell r="A2320">
            <v>370</v>
          </cell>
        </row>
        <row r="2321">
          <cell r="A2321">
            <v>371</v>
          </cell>
        </row>
        <row r="2322">
          <cell r="A2322">
            <v>372</v>
          </cell>
        </row>
        <row r="2323">
          <cell r="A2323">
            <v>373</v>
          </cell>
        </row>
        <row r="2324">
          <cell r="A2324">
            <v>374</v>
          </cell>
        </row>
        <row r="2325">
          <cell r="A2325">
            <v>375</v>
          </cell>
        </row>
        <row r="2326">
          <cell r="A2326">
            <v>376</v>
          </cell>
        </row>
        <row r="2327">
          <cell r="A2327">
            <v>377</v>
          </cell>
        </row>
        <row r="2328">
          <cell r="A2328">
            <v>378</v>
          </cell>
        </row>
        <row r="2329">
          <cell r="A2329">
            <v>379</v>
          </cell>
        </row>
        <row r="2330">
          <cell r="A2330">
            <v>380</v>
          </cell>
        </row>
        <row r="2331">
          <cell r="A2331">
            <v>381</v>
          </cell>
        </row>
        <row r="2332">
          <cell r="A2332">
            <v>382</v>
          </cell>
        </row>
        <row r="2333">
          <cell r="A2333">
            <v>383</v>
          </cell>
        </row>
        <row r="2334">
          <cell r="A2334">
            <v>384</v>
          </cell>
        </row>
        <row r="2335">
          <cell r="A2335">
            <v>385</v>
          </cell>
        </row>
        <row r="2336">
          <cell r="A2336">
            <v>386</v>
          </cell>
        </row>
        <row r="2337">
          <cell r="A2337">
            <v>387</v>
          </cell>
        </row>
        <row r="2338">
          <cell r="A2338">
            <v>388</v>
          </cell>
        </row>
        <row r="2339">
          <cell r="A2339">
            <v>389</v>
          </cell>
        </row>
        <row r="2340">
          <cell r="A2340">
            <v>390</v>
          </cell>
        </row>
        <row r="2341">
          <cell r="A2341">
            <v>391</v>
          </cell>
        </row>
        <row r="2342">
          <cell r="A2342">
            <v>392</v>
          </cell>
        </row>
        <row r="2343">
          <cell r="A2343">
            <v>393</v>
          </cell>
        </row>
        <row r="2344">
          <cell r="A2344">
            <v>394</v>
          </cell>
        </row>
        <row r="2345">
          <cell r="A2345">
            <v>395</v>
          </cell>
        </row>
        <row r="2346">
          <cell r="A2346">
            <v>396</v>
          </cell>
        </row>
        <row r="2347">
          <cell r="A2347">
            <v>397</v>
          </cell>
        </row>
        <row r="2348">
          <cell r="A2348">
            <v>398</v>
          </cell>
        </row>
        <row r="2349">
          <cell r="A2349">
            <v>399</v>
          </cell>
        </row>
        <row r="2350">
          <cell r="A2350">
            <v>400</v>
          </cell>
        </row>
        <row r="2351">
          <cell r="A2351">
            <v>401</v>
          </cell>
        </row>
        <row r="2352">
          <cell r="A2352">
            <v>402</v>
          </cell>
        </row>
        <row r="2353">
          <cell r="A2353">
            <v>403</v>
          </cell>
        </row>
        <row r="2354">
          <cell r="A2354">
            <v>404</v>
          </cell>
        </row>
        <row r="2355">
          <cell r="A2355">
            <v>405</v>
          </cell>
        </row>
        <row r="2356">
          <cell r="A2356">
            <v>406</v>
          </cell>
        </row>
        <row r="2357">
          <cell r="A2357">
            <v>407</v>
          </cell>
        </row>
        <row r="2358">
          <cell r="A2358">
            <v>408</v>
          </cell>
        </row>
        <row r="2359">
          <cell r="A2359">
            <v>409</v>
          </cell>
        </row>
        <row r="2360">
          <cell r="A2360">
            <v>410</v>
          </cell>
        </row>
        <row r="2361">
          <cell r="A2361">
            <v>411</v>
          </cell>
        </row>
        <row r="2362">
          <cell r="A2362">
            <v>412</v>
          </cell>
        </row>
        <row r="2363">
          <cell r="A2363">
            <v>413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圖形"/>
      <sheetName val="介面"/>
      <sheetName val="分月金額"/>
      <sheetName val="分項實際資料"/>
      <sheetName val="分月進度"/>
      <sheetName val="分項分月金額"/>
      <sheetName val="BAR"/>
      <sheetName val="Sheet1"/>
      <sheetName val="基本資料"/>
      <sheetName val="金額調整"/>
      <sheetName val="金額調整 (2)"/>
      <sheetName val="預定進度"/>
      <sheetName val="主要模組"/>
      <sheetName val="呼叫模組"/>
      <sheetName val="起始模組"/>
      <sheetName val="金額調整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資料輸入"/>
      <sheetName val="240混凝土"/>
      <sheetName val="280混凝土"/>
      <sheetName val="80混凝土"/>
      <sheetName val="基礎模版"/>
      <sheetName val="軀體模版"/>
      <sheetName val="構造物開挖"/>
      <sheetName val="構造物回填"/>
      <sheetName val="PVC管"/>
      <sheetName val="透水材料 "/>
      <sheetName val="廢方"/>
    </sheetNames>
    <sheetDataSet>
      <sheetData sheetId="0" refreshError="1">
        <row r="3">
          <cell r="O3" t="str">
            <v xml:space="preserve">   90  年  4  月    日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邊坡植草"/>
      <sheetName val="植物種植"/>
      <sheetName val="Sheet3"/>
      <sheetName val="工程進度"/>
      <sheetName val="數量完成表"/>
      <sheetName val="數量統計表"/>
      <sheetName val="數量統計表(手 寫)"/>
      <sheetName val="百分比"/>
      <sheetName val="工程進度報告表"/>
      <sheetName val="完工日走勢圖"/>
      <sheetName val="進度差異檢討"/>
      <sheetName val="數量完成報告"/>
      <sheetName val="要徑報告表"/>
      <sheetName val="工作數量統計表"/>
      <sheetName val="隧道數量統計表"/>
      <sheetName val="完成作業項目"/>
      <sheetName val="材料管制表"/>
      <sheetName val="基本資料輸入"/>
      <sheetName val="Database"/>
      <sheetName val="design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管理費說明"/>
      <sheetName val="假設貼貼"/>
      <sheetName val="假設編列原則"/>
      <sheetName val="地坪"/>
      <sheetName val="坪頂"/>
      <sheetName val="內牆"/>
      <sheetName val="外牆"/>
      <sheetName val="整理"/>
      <sheetName val="結構"/>
      <sheetName val="單價分析"/>
      <sheetName val="單價分析 (2)"/>
      <sheetName val="人事管理費明細"/>
      <sheetName val="預算成本分析"/>
      <sheetName val="工料單價"/>
      <sheetName val="外勞鋼筋工程"/>
      <sheetName val="外勞傳模"/>
      <sheetName val="外勞系模"/>
      <sheetName val="工程預算施工進度表"/>
      <sheetName val="模板成本分析"/>
      <sheetName val="模板"/>
      <sheetName val="塔吊攤提原則"/>
      <sheetName val="塔吊分析"/>
      <sheetName val="塔吊預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1">
          <cell r="F71" t="str">
            <v>地坪1:3粉刷</v>
          </cell>
        </row>
        <row r="76">
          <cell r="F76" t="str">
            <v>平頂1:2防水粉刷</v>
          </cell>
        </row>
        <row r="84">
          <cell r="F84" t="str">
            <v>平頂1:3粉刷</v>
          </cell>
        </row>
        <row r="321">
          <cell r="F321" t="str">
            <v>外牆貼方塊磚</v>
          </cell>
        </row>
        <row r="359">
          <cell r="F359" t="str">
            <v>外牆貼二丁掛</v>
          </cell>
        </row>
        <row r="606">
          <cell r="F606" t="str">
            <v>內牆防水貼20*20磁磚</v>
          </cell>
        </row>
        <row r="772">
          <cell r="F772" t="str">
            <v>地坪貼20*20磁磚(軟底)</v>
          </cell>
        </row>
        <row r="787">
          <cell r="F787" t="str">
            <v>地坪貼20*20石英磚(軟底)</v>
          </cell>
        </row>
        <row r="794">
          <cell r="F794" t="str">
            <v>地坪防水貼20*20石英磚(軟底)</v>
          </cell>
        </row>
        <row r="960">
          <cell r="F960" t="str">
            <v>地坪防水貼50*50石英磚(軟底)</v>
          </cell>
        </row>
        <row r="1069">
          <cell r="F1069" t="str">
            <v>平頂粉刷刷漆</v>
          </cell>
        </row>
        <row r="1077">
          <cell r="F1077" t="str">
            <v>平頂批土刷刷漆</v>
          </cell>
        </row>
        <row r="1146">
          <cell r="F1146" t="str">
            <v>外部鷹架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看這裡"/>
      <sheetName val="假設工程明細"/>
      <sheetName val="單價分析"/>
      <sheetName val="工料單價"/>
      <sheetName val="預算書"/>
      <sheetName val="鋁門窗&amp;其他"/>
      <sheetName val="捲門"/>
      <sheetName val="架構說明"/>
      <sheetName val="工程要徑進度表"/>
      <sheetName val="塔吊成本分析表"/>
      <sheetName val="結構施工流程表-傳模"/>
      <sheetName val="結構施工流程表-系模"/>
      <sheetName val="土方分析表"/>
      <sheetName val="自辦混凝土分析表"/>
      <sheetName val="勞務需求時程表"/>
      <sheetName val="分層勞務統計表"/>
      <sheetName val="外勞工率分析表"/>
      <sheetName val="工程概況"/>
      <sheetName val="假設工程"/>
      <sheetName val="鐵捲門工程"/>
      <sheetName val="鋁門窗工程"/>
      <sheetName val="不鏽鋼門窗工程"/>
      <sheetName val="鋼板門及木門工程"/>
      <sheetName val="標單單項比例"/>
      <sheetName val="實算單項比例"/>
      <sheetName val="ck"/>
    </sheetNames>
    <sheetDataSet>
      <sheetData sheetId="0"/>
      <sheetData sheetId="1"/>
      <sheetData sheetId="2"/>
      <sheetData sheetId="3" refreshError="1">
        <row r="26">
          <cell r="L26">
            <v>35</v>
          </cell>
        </row>
        <row r="27">
          <cell r="G27">
            <v>384</v>
          </cell>
        </row>
        <row r="28">
          <cell r="G28">
            <v>349</v>
          </cell>
        </row>
        <row r="32">
          <cell r="G32">
            <v>152</v>
          </cell>
        </row>
        <row r="33">
          <cell r="G33">
            <v>268</v>
          </cell>
        </row>
        <row r="51">
          <cell r="G51">
            <v>3450</v>
          </cell>
        </row>
        <row r="52">
          <cell r="G52">
            <v>210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電信"/>
      <sheetName val="預算"/>
      <sheetName val="單價1"/>
      <sheetName val="單價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說明"/>
      <sheetName val="封面"/>
      <sheetName val="估驗總表"/>
      <sheetName val="估驗表(一)"/>
      <sheetName val="估驗表"/>
    </sheetNames>
    <sheetDataSet>
      <sheetData sheetId="0"/>
      <sheetData sheetId="1" refreshError="1"/>
      <sheetData sheetId="2">
        <row r="13">
          <cell r="C13">
            <v>0</v>
          </cell>
        </row>
      </sheetData>
      <sheetData sheetId="3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2"/>
      <sheetName val="TYPE1"/>
      <sheetName val="STEEL TABLE"/>
      <sheetName val="Sheet1"/>
      <sheetName val="LT-1"/>
      <sheetName val="LT-2"/>
      <sheetName val="LT-3"/>
      <sheetName val="LT-4"/>
      <sheetName val="LT-5"/>
      <sheetName val="LT-6"/>
      <sheetName val="LT-7"/>
      <sheetName val="LT-8"/>
      <sheetName val="LT-9"/>
      <sheetName val="LT-10"/>
      <sheetName val="LT-11"/>
      <sheetName val="LT-12"/>
      <sheetName val="LT-13"/>
      <sheetName val="LT-14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4"/>
      <sheetName val="LT-25"/>
      <sheetName val="LT-26"/>
      <sheetName val="LT-27"/>
      <sheetName val="LT-28"/>
      <sheetName val="LT-29"/>
      <sheetName val="LT-30"/>
      <sheetName val="LT-31"/>
      <sheetName val="LT-32"/>
      <sheetName val="LT-33"/>
      <sheetName val="LT-34"/>
      <sheetName val="LT-35"/>
      <sheetName val="LT-36"/>
      <sheetName val="LT-37"/>
      <sheetName val="LT-38"/>
      <sheetName val="LT-39"/>
      <sheetName val="LT-40"/>
      <sheetName val="LT-41"/>
      <sheetName val="LT-42"/>
      <sheetName val="LT-43"/>
      <sheetName val="LT-44"/>
      <sheetName val="LT-45"/>
      <sheetName val="LT-46"/>
      <sheetName val="LT-47"/>
      <sheetName val="LT-48"/>
      <sheetName val="LT-49"/>
      <sheetName val="LT-50"/>
      <sheetName val="LT-51"/>
      <sheetName val="LT-52"/>
      <sheetName val="LT-53"/>
      <sheetName val="LT-54"/>
      <sheetName val="LT-55"/>
      <sheetName val="LT-56"/>
      <sheetName val="LT-57"/>
      <sheetName val="LT-58"/>
      <sheetName val="LT-59"/>
      <sheetName val="LT-60"/>
      <sheetName val="LT-61"/>
      <sheetName val="LT-62"/>
      <sheetName val="LT-63"/>
      <sheetName val="LT-64"/>
      <sheetName val="LT-65"/>
      <sheetName val="Module1"/>
      <sheetName val="北上永久擋土牆0414-TYL-3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D10</v>
          </cell>
          <cell r="B2">
            <v>0.55900000000000005</v>
          </cell>
          <cell r="C2">
            <v>0.15</v>
          </cell>
          <cell r="D2">
            <v>0.3</v>
          </cell>
          <cell r="E2">
            <v>0.12</v>
          </cell>
          <cell r="F2">
            <v>0.13</v>
          </cell>
          <cell r="G2">
            <v>0.3</v>
          </cell>
          <cell r="H2">
            <v>0.3</v>
          </cell>
          <cell r="I2">
            <v>0.3</v>
          </cell>
          <cell r="J2">
            <v>0.3</v>
          </cell>
        </row>
        <row r="3">
          <cell r="A3" t="str">
            <v>D13</v>
          </cell>
          <cell r="B3">
            <v>0.99399999999999999</v>
          </cell>
          <cell r="C3">
            <v>0.21000000000000002</v>
          </cell>
          <cell r="D3">
            <v>0.3</v>
          </cell>
          <cell r="E3">
            <v>0.12</v>
          </cell>
          <cell r="F3">
            <v>0.15</v>
          </cell>
          <cell r="G3">
            <v>0.3</v>
          </cell>
          <cell r="H3">
            <v>0.4</v>
          </cell>
          <cell r="I3">
            <v>0.3</v>
          </cell>
          <cell r="J3">
            <v>0.4</v>
          </cell>
        </row>
        <row r="4">
          <cell r="A4" t="str">
            <v>D16</v>
          </cell>
          <cell r="B4">
            <v>1.55</v>
          </cell>
          <cell r="C4">
            <v>0.26</v>
          </cell>
          <cell r="D4">
            <v>0.35</v>
          </cell>
          <cell r="E4">
            <v>0.14000000000000001</v>
          </cell>
          <cell r="F4">
            <v>0.18</v>
          </cell>
          <cell r="G4">
            <v>0.35</v>
          </cell>
          <cell r="H4">
            <v>0.61</v>
          </cell>
          <cell r="I4">
            <v>0.35</v>
          </cell>
          <cell r="J4">
            <v>0.5</v>
          </cell>
          <cell r="K4">
            <v>3.2</v>
          </cell>
        </row>
        <row r="5">
          <cell r="A5" t="str">
            <v>D19</v>
          </cell>
          <cell r="B5">
            <v>2.2400000000000002</v>
          </cell>
          <cell r="C5">
            <v>0.31</v>
          </cell>
          <cell r="D5">
            <v>0.6</v>
          </cell>
          <cell r="E5">
            <v>0.2</v>
          </cell>
          <cell r="F5">
            <v>0.2</v>
          </cell>
          <cell r="G5">
            <v>0.65</v>
          </cell>
          <cell r="H5">
            <v>1.0900000000000001</v>
          </cell>
          <cell r="I5">
            <v>0.6</v>
          </cell>
          <cell r="J5">
            <v>0.85</v>
          </cell>
          <cell r="K5">
            <v>3.5</v>
          </cell>
        </row>
        <row r="6">
          <cell r="A6" t="str">
            <v>D22</v>
          </cell>
          <cell r="B6">
            <v>3.05</v>
          </cell>
          <cell r="C6">
            <v>0.36</v>
          </cell>
          <cell r="D6">
            <v>0.7</v>
          </cell>
          <cell r="E6">
            <v>0.23</v>
          </cell>
          <cell r="F6">
            <v>0.25</v>
          </cell>
          <cell r="G6">
            <v>0.85</v>
          </cell>
          <cell r="H6">
            <v>1.1499999999999999</v>
          </cell>
          <cell r="I6">
            <v>0.8</v>
          </cell>
          <cell r="J6">
            <v>1</v>
          </cell>
          <cell r="K6">
            <v>4.0999999999999996</v>
          </cell>
        </row>
        <row r="7">
          <cell r="A7" t="str">
            <v>D25</v>
          </cell>
          <cell r="B7">
            <v>3.98</v>
          </cell>
          <cell r="C7">
            <v>0.41</v>
          </cell>
          <cell r="D7">
            <v>0.8</v>
          </cell>
          <cell r="E7">
            <v>0.27</v>
          </cell>
          <cell r="F7">
            <v>0.28000000000000003</v>
          </cell>
          <cell r="G7">
            <v>1.1000000000000001</v>
          </cell>
          <cell r="H7">
            <v>1.55</v>
          </cell>
          <cell r="I7">
            <v>1</v>
          </cell>
          <cell r="J7">
            <v>1.25</v>
          </cell>
          <cell r="K7">
            <v>5.2</v>
          </cell>
        </row>
        <row r="8">
          <cell r="A8" t="str">
            <v>D29</v>
          </cell>
          <cell r="B8">
            <v>5.08</v>
          </cell>
          <cell r="C8">
            <v>0.49</v>
          </cell>
          <cell r="D8">
            <v>0.9</v>
          </cell>
          <cell r="E8">
            <v>0</v>
          </cell>
          <cell r="F8">
            <v>0.38</v>
          </cell>
          <cell r="G8">
            <v>1.4</v>
          </cell>
          <cell r="H8">
            <v>1.95</v>
          </cell>
          <cell r="I8">
            <v>1.3</v>
          </cell>
          <cell r="J8">
            <v>1.6</v>
          </cell>
        </row>
        <row r="9">
          <cell r="A9" t="str">
            <v>D32</v>
          </cell>
          <cell r="B9">
            <v>6.41</v>
          </cell>
          <cell r="C9">
            <v>0.56000000000000005</v>
          </cell>
          <cell r="D9">
            <v>1</v>
          </cell>
          <cell r="E9">
            <v>0</v>
          </cell>
          <cell r="F9">
            <v>0.43</v>
          </cell>
          <cell r="G9">
            <v>1.75</v>
          </cell>
          <cell r="H9">
            <v>2.4500000000000002</v>
          </cell>
          <cell r="I9">
            <v>1.6</v>
          </cell>
          <cell r="J9">
            <v>2</v>
          </cell>
        </row>
        <row r="10">
          <cell r="A10" t="str">
            <v>D36</v>
          </cell>
          <cell r="B10">
            <v>7.91</v>
          </cell>
          <cell r="C10">
            <v>0.61</v>
          </cell>
          <cell r="D10">
            <v>1.1000000000000001</v>
          </cell>
          <cell r="E10">
            <v>0</v>
          </cell>
          <cell r="F10">
            <v>0.48</v>
          </cell>
          <cell r="G10">
            <v>2.15</v>
          </cell>
          <cell r="H10">
            <v>3</v>
          </cell>
          <cell r="I10">
            <v>2</v>
          </cell>
          <cell r="J10">
            <v>2.5</v>
          </cell>
        </row>
        <row r="19">
          <cell r="A19" t="str">
            <v>TYPE 1</v>
          </cell>
          <cell r="B19" t="str">
            <v>&gt;=2</v>
          </cell>
          <cell r="C19">
            <v>2</v>
          </cell>
          <cell r="D19">
            <v>0.6</v>
          </cell>
          <cell r="E19">
            <v>0.5</v>
          </cell>
          <cell r="F19">
            <v>0.05</v>
          </cell>
          <cell r="G19">
            <v>2</v>
          </cell>
          <cell r="H19">
            <v>0.4</v>
          </cell>
          <cell r="I19">
            <v>0.3</v>
          </cell>
          <cell r="J19">
            <v>1.3</v>
          </cell>
          <cell r="K19">
            <v>0.7</v>
          </cell>
          <cell r="L19">
            <v>0.5</v>
          </cell>
          <cell r="M19">
            <v>0.5</v>
          </cell>
        </row>
        <row r="20">
          <cell r="A20" t="str">
            <v>TYPE 2</v>
          </cell>
          <cell r="B20" t="str">
            <v>&gt;=2</v>
          </cell>
          <cell r="C20">
            <v>3</v>
          </cell>
          <cell r="D20">
            <v>0.7</v>
          </cell>
          <cell r="E20">
            <v>0.7</v>
          </cell>
          <cell r="F20">
            <v>0.05</v>
          </cell>
          <cell r="G20">
            <v>3</v>
          </cell>
          <cell r="H20">
            <v>0.5</v>
          </cell>
          <cell r="I20">
            <v>0.3</v>
          </cell>
          <cell r="J20">
            <v>2.2000000000000002</v>
          </cell>
          <cell r="K20">
            <v>0.8</v>
          </cell>
          <cell r="L20">
            <v>0.8</v>
          </cell>
          <cell r="M20">
            <v>0.7</v>
          </cell>
        </row>
        <row r="21">
          <cell r="A21" t="str">
            <v>TYPE 3</v>
          </cell>
          <cell r="B21" t="str">
            <v>&gt;=2</v>
          </cell>
          <cell r="C21">
            <v>4</v>
          </cell>
          <cell r="D21">
            <v>0.8</v>
          </cell>
          <cell r="E21">
            <v>0.9</v>
          </cell>
          <cell r="F21">
            <v>0.05</v>
          </cell>
          <cell r="G21">
            <v>3.8</v>
          </cell>
          <cell r="H21">
            <v>0.94</v>
          </cell>
          <cell r="I21">
            <v>0.3</v>
          </cell>
          <cell r="J21">
            <v>2.56</v>
          </cell>
          <cell r="K21">
            <v>1.2</v>
          </cell>
          <cell r="L21">
            <v>1.1000000000000001</v>
          </cell>
          <cell r="M21">
            <v>1</v>
          </cell>
        </row>
        <row r="22">
          <cell r="A22" t="str">
            <v>TYPE 4</v>
          </cell>
          <cell r="B22" t="str">
            <v>&gt;=2</v>
          </cell>
          <cell r="C22">
            <v>5</v>
          </cell>
          <cell r="D22">
            <v>1</v>
          </cell>
          <cell r="E22">
            <v>1</v>
          </cell>
          <cell r="F22">
            <v>0.05</v>
          </cell>
          <cell r="G22">
            <v>4.5</v>
          </cell>
          <cell r="H22">
            <v>1</v>
          </cell>
          <cell r="I22">
            <v>0.3</v>
          </cell>
          <cell r="J22">
            <v>3.2</v>
          </cell>
          <cell r="K22">
            <v>1.6</v>
          </cell>
          <cell r="L22">
            <v>1.2</v>
          </cell>
          <cell r="M22">
            <v>1</v>
          </cell>
        </row>
        <row r="23">
          <cell r="A23" t="str">
            <v>TYPE 5</v>
          </cell>
          <cell r="B23">
            <v>0</v>
          </cell>
          <cell r="C23">
            <v>7</v>
          </cell>
          <cell r="D23">
            <v>1</v>
          </cell>
          <cell r="E23">
            <v>1</v>
          </cell>
          <cell r="F23">
            <v>0.05</v>
          </cell>
          <cell r="G23">
            <v>4.5999999999999996</v>
          </cell>
          <cell r="H23">
            <v>1.3</v>
          </cell>
          <cell r="I23">
            <v>0.3</v>
          </cell>
          <cell r="J23">
            <v>3</v>
          </cell>
          <cell r="K23">
            <v>1.7</v>
          </cell>
          <cell r="L23">
            <v>1</v>
          </cell>
          <cell r="M23">
            <v>1</v>
          </cell>
        </row>
        <row r="24">
          <cell r="A24" t="str">
            <v>TYPE 5a</v>
          </cell>
          <cell r="B24">
            <v>0</v>
          </cell>
          <cell r="C24">
            <v>8</v>
          </cell>
          <cell r="D24">
            <v>1</v>
          </cell>
          <cell r="E24">
            <v>1</v>
          </cell>
          <cell r="F24">
            <v>0.05</v>
          </cell>
          <cell r="G24">
            <v>4.5999999999999996</v>
          </cell>
          <cell r="H24">
            <v>1.3</v>
          </cell>
          <cell r="I24">
            <v>0.3</v>
          </cell>
          <cell r="J24">
            <v>3</v>
          </cell>
          <cell r="K24">
            <v>1.7</v>
          </cell>
          <cell r="L24">
            <v>1</v>
          </cell>
          <cell r="M24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度資料"/>
      <sheetName val="基本資料"/>
      <sheetName val="8807"/>
    </sheetNames>
    <sheetDataSet>
      <sheetData sheetId="0" refreshError="1">
        <row r="2">
          <cell r="A2">
            <v>36250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</row>
        <row r="3">
          <cell r="A3">
            <v>36280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36311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596401</v>
          </cell>
          <cell r="I4">
            <v>596401</v>
          </cell>
        </row>
        <row r="5">
          <cell r="A5">
            <v>36341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247345</v>
          </cell>
          <cell r="I5">
            <v>843746</v>
          </cell>
        </row>
        <row r="6">
          <cell r="A6">
            <v>36372</v>
          </cell>
          <cell r="B6">
            <v>6671019</v>
          </cell>
          <cell r="C6">
            <v>6353351.4285714282</v>
          </cell>
          <cell r="D6">
            <v>6671019</v>
          </cell>
          <cell r="E6">
            <v>6353351.4285714282</v>
          </cell>
          <cell r="F6">
            <v>2E-3</v>
          </cell>
          <cell r="G6">
            <v>2E-3</v>
          </cell>
          <cell r="H6">
            <v>1306396</v>
          </cell>
          <cell r="I6">
            <v>2150142</v>
          </cell>
        </row>
        <row r="7">
          <cell r="A7">
            <v>36403</v>
          </cell>
          <cell r="B7">
            <v>8271652</v>
          </cell>
          <cell r="C7">
            <v>7877763.8095238088</v>
          </cell>
          <cell r="D7">
            <v>14942671</v>
          </cell>
          <cell r="E7">
            <v>14231115.238095237</v>
          </cell>
          <cell r="F7">
            <v>8.9999999999999993E-3</v>
          </cell>
          <cell r="G7">
            <v>1.0999999999999999E-2</v>
          </cell>
          <cell r="H7">
            <v>10117558</v>
          </cell>
          <cell r="I7">
            <v>12267700</v>
          </cell>
        </row>
        <row r="8">
          <cell r="A8">
            <v>36433</v>
          </cell>
          <cell r="B8">
            <v>17140650</v>
          </cell>
          <cell r="C8">
            <v>16324428.571428571</v>
          </cell>
          <cell r="D8">
            <v>32083321</v>
          </cell>
          <cell r="E8">
            <v>30555543.80952381</v>
          </cell>
          <cell r="F8">
            <v>1.35E-2</v>
          </cell>
          <cell r="G8">
            <v>2.4500000000000001E-2</v>
          </cell>
          <cell r="H8">
            <v>26078437</v>
          </cell>
          <cell r="I8">
            <v>38346137</v>
          </cell>
        </row>
        <row r="9">
          <cell r="A9">
            <v>36464</v>
          </cell>
          <cell r="B9">
            <v>46201000</v>
          </cell>
          <cell r="C9">
            <v>44000952.380952381</v>
          </cell>
          <cell r="D9">
            <v>78284321</v>
          </cell>
          <cell r="E9">
            <v>74556496.190476194</v>
          </cell>
          <cell r="F9">
            <v>2.47E-2</v>
          </cell>
          <cell r="G9">
            <v>4.9200000000000001E-2</v>
          </cell>
          <cell r="H9">
            <v>25664539</v>
          </cell>
          <cell r="I9">
            <v>64010676</v>
          </cell>
        </row>
        <row r="10">
          <cell r="A10">
            <v>36494</v>
          </cell>
          <cell r="B10">
            <v>42750969</v>
          </cell>
          <cell r="C10">
            <v>40715208.571428567</v>
          </cell>
          <cell r="D10">
            <v>121035290</v>
          </cell>
          <cell r="E10">
            <v>115271704.76190476</v>
          </cell>
          <cell r="F10">
            <v>3.6200000000000003E-2</v>
          </cell>
          <cell r="G10">
            <v>8.5400000000000004E-2</v>
          </cell>
          <cell r="H10">
            <v>57114987</v>
          </cell>
          <cell r="I10">
            <v>121125663</v>
          </cell>
        </row>
        <row r="11">
          <cell r="A11">
            <v>36525</v>
          </cell>
          <cell r="B11">
            <v>47470810</v>
          </cell>
          <cell r="C11">
            <v>45210295.238095239</v>
          </cell>
          <cell r="D11">
            <v>168506100</v>
          </cell>
          <cell r="E11">
            <v>160482000</v>
          </cell>
          <cell r="F11">
            <v>3.7600000000000001E-2</v>
          </cell>
          <cell r="G11">
            <v>0.123</v>
          </cell>
          <cell r="H11">
            <v>1783186</v>
          </cell>
          <cell r="I11">
            <v>122908849</v>
          </cell>
        </row>
        <row r="12">
          <cell r="A12">
            <v>36556</v>
          </cell>
        </row>
        <row r="13">
          <cell r="A13">
            <v>36585</v>
          </cell>
        </row>
        <row r="14">
          <cell r="A14">
            <v>36616</v>
          </cell>
        </row>
        <row r="18">
          <cell r="B18">
            <v>168506100</v>
          </cell>
          <cell r="C18">
            <v>160482000</v>
          </cell>
        </row>
      </sheetData>
      <sheetData sheetId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(1)"/>
      <sheetName val="鋼筋L(1)"/>
      <sheetName val="L(2)"/>
      <sheetName val="鋼筋L(2)"/>
      <sheetName val="L(3)"/>
      <sheetName val="鋼筋L(3)"/>
      <sheetName val="L(4)"/>
      <sheetName val="鋼筋L(4)"/>
      <sheetName val="L(5)"/>
      <sheetName val="鋼筋L(5)"/>
      <sheetName val="L(6)"/>
      <sheetName val="鋼筋L(6)"/>
      <sheetName val="L(7)"/>
      <sheetName val="鋼筋L(7)"/>
      <sheetName val="L(8)"/>
      <sheetName val="鋼筋L(8)"/>
      <sheetName val="L(9)"/>
      <sheetName val="鋼筋L(9)"/>
      <sheetName val="L(10)"/>
      <sheetName val="鋼筋L(10)"/>
      <sheetName val="L(11)"/>
      <sheetName val="鋼筋L(11)"/>
      <sheetName val="LN 11"/>
      <sheetName val="鋼筋LN 11"/>
      <sheetName val="323K+000~323K+100"/>
      <sheetName val="Sheet2"/>
      <sheetName val="TYPE  C1~PC2"/>
      <sheetName val="C2R1"/>
      <sheetName val="C2R2"/>
      <sheetName val="C2R3"/>
      <sheetName val="C2R4"/>
      <sheetName val="LS17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概況"/>
      <sheetName val="看這裡"/>
      <sheetName val="人事管理費明細"/>
      <sheetName val="工料單價"/>
      <sheetName val="單價分析 (2)"/>
      <sheetName val="木門"/>
      <sheetName val="不鏽鋼門"/>
      <sheetName val="鋁窗"/>
      <sheetName val="捲門"/>
      <sheetName val="總表"/>
      <sheetName val="預算書"/>
      <sheetName val="假設工程"/>
      <sheetName val="指定材料"/>
      <sheetName val="單價分析"/>
      <sheetName val="污水場"/>
      <sheetName val="帷幕"/>
      <sheetName val="天花"/>
      <sheetName val="儲油槽"/>
      <sheetName val="詢價分配"/>
      <sheetName val="進度表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概況"/>
      <sheetName val="看這裡"/>
      <sheetName val="人事管理費明細"/>
      <sheetName val="工料單價"/>
      <sheetName val="單價分析 (2)"/>
      <sheetName val="木門"/>
      <sheetName val="不鏽鋼門"/>
      <sheetName val="鋁窗"/>
      <sheetName val="捲門"/>
      <sheetName val="總表"/>
      <sheetName val="預算書"/>
      <sheetName val="假設工程"/>
      <sheetName val="指定材料"/>
      <sheetName val="單價分析"/>
      <sheetName val="污水場"/>
      <sheetName val="帷幕"/>
      <sheetName val="天花"/>
      <sheetName val="儲油槽"/>
      <sheetName val="詢價分配"/>
      <sheetName val="進度表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管理費說明"/>
      <sheetName val="假設貼貼"/>
      <sheetName val="假設編列原則"/>
      <sheetName val="地坪"/>
      <sheetName val="坪頂"/>
      <sheetName val="內牆"/>
      <sheetName val="外牆"/>
      <sheetName val="整理"/>
      <sheetName val="結構"/>
      <sheetName val="單價分析"/>
      <sheetName val="單價分析 (2)"/>
      <sheetName val="人事管理費明細"/>
      <sheetName val="預算成本分析"/>
      <sheetName val="工料單價"/>
      <sheetName val="外勞鋼筋工程"/>
      <sheetName val="外勞傳模"/>
      <sheetName val="外勞系模"/>
      <sheetName val="工程預算施工進度表"/>
      <sheetName val="模板成本分析"/>
      <sheetName val="模板"/>
      <sheetName val="塔吊攤提原則"/>
      <sheetName val="塔吊分析"/>
      <sheetName val="塔吊預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0">
          <cell r="F50" t="str">
            <v>內牆1:2防水粉刷</v>
          </cell>
        </row>
        <row r="58">
          <cell r="F58" t="str">
            <v>內牆1:3粉刷</v>
          </cell>
        </row>
        <row r="65">
          <cell r="F65" t="str">
            <v>地坪1:2防水粉刷</v>
          </cell>
        </row>
        <row r="131">
          <cell r="F131" t="str">
            <v>外牆洗石子</v>
          </cell>
        </row>
        <row r="292">
          <cell r="F292" t="str">
            <v>內牆貼花崗石(溼式)</v>
          </cell>
        </row>
        <row r="310">
          <cell r="F310" t="str">
            <v>地坪貼花崗石</v>
          </cell>
        </row>
        <row r="315">
          <cell r="F315" t="str">
            <v>樓梯貼花崗石</v>
          </cell>
        </row>
        <row r="530">
          <cell r="F530" t="str">
            <v>內牆貼馬賽克</v>
          </cell>
        </row>
        <row r="616">
          <cell r="F616" t="str">
            <v>內牆貼20*25磁磚</v>
          </cell>
        </row>
        <row r="662">
          <cell r="F662" t="str">
            <v>地坪貼馬賽克</v>
          </cell>
        </row>
        <row r="671">
          <cell r="F671" t="str">
            <v>地坪防水貼馬賽克</v>
          </cell>
        </row>
        <row r="753">
          <cell r="F753" t="str">
            <v>地坪貼10*10磁磚(硬底)</v>
          </cell>
        </row>
        <row r="855">
          <cell r="F855" t="str">
            <v>樓梯貼20*25石英磚(軟底)</v>
          </cell>
        </row>
        <row r="945">
          <cell r="F945" t="str">
            <v>地坪貼40*40石英磚(軟底)</v>
          </cell>
        </row>
        <row r="983">
          <cell r="F983" t="str">
            <v>地坪貼40*40磨石子地磚</v>
          </cell>
        </row>
        <row r="1013">
          <cell r="F1013" t="str">
            <v>地坪貼H13~20其他類磚</v>
          </cell>
        </row>
        <row r="1043">
          <cell r="F1043" t="str">
            <v>內牆1:2防水粉刷刷漆</v>
          </cell>
        </row>
        <row r="1052">
          <cell r="F1052" t="str">
            <v>內牆粉刷刷漆</v>
          </cell>
        </row>
        <row r="1060">
          <cell r="F1060" t="str">
            <v>平頂1:2防水粉刷刷漆</v>
          </cell>
        </row>
        <row r="1083">
          <cell r="F1083" t="str">
            <v>地坪1:2MT鋪H:50高架地板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看這裡"/>
      <sheetName val="其他門窗"/>
      <sheetName val="捲門"/>
      <sheetName val="預算書"/>
      <sheetName val="工料單價"/>
      <sheetName val="假設工程"/>
      <sheetName val="單價分析"/>
      <sheetName val="成本分析"/>
      <sheetName val="工料價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 Point"/>
      <sheetName val="Data"/>
      <sheetName val="估算成本分析總表"/>
      <sheetName val="Cash Flow"/>
      <sheetName val="百分比"/>
      <sheetName val="成本分析"/>
    </sheetNames>
    <sheetDataSet>
      <sheetData sheetId="0"/>
      <sheetData sheetId="1">
        <row r="2">
          <cell r="C2">
            <v>1101883137.4000001</v>
          </cell>
          <cell r="E2" t="str">
            <v>月份</v>
          </cell>
          <cell r="F2" t="str">
            <v>工程進度</v>
          </cell>
          <cell r="H2" t="str">
            <v>直接費用</v>
          </cell>
        </row>
        <row r="3">
          <cell r="C3">
            <v>0</v>
          </cell>
          <cell r="E3">
            <v>1</v>
          </cell>
          <cell r="F3">
            <v>5.0000000000000002E-5</v>
          </cell>
          <cell r="H3">
            <v>5.0000000000000002E-5</v>
          </cell>
        </row>
        <row r="4">
          <cell r="C4">
            <v>61299440</v>
          </cell>
          <cell r="E4">
            <v>2</v>
          </cell>
          <cell r="F4">
            <v>4.4999999999999999E-4</v>
          </cell>
          <cell r="H4">
            <v>4.4999999999999999E-4</v>
          </cell>
        </row>
        <row r="5">
          <cell r="B5">
            <v>0.03</v>
          </cell>
          <cell r="E5">
            <v>3</v>
          </cell>
          <cell r="F5">
            <v>1.15E-2</v>
          </cell>
          <cell r="H5">
            <v>1.15E-2</v>
          </cell>
        </row>
        <row r="6">
          <cell r="B6">
            <v>0.02</v>
          </cell>
          <cell r="E6">
            <v>4</v>
          </cell>
          <cell r="F6">
            <v>1.6500000000000001E-2</v>
          </cell>
          <cell r="H6">
            <v>1.6500000000000001E-2</v>
          </cell>
        </row>
        <row r="7">
          <cell r="B7">
            <v>0.05</v>
          </cell>
          <cell r="E7">
            <v>5</v>
          </cell>
          <cell r="F7">
            <v>2.1499999999999998E-2</v>
          </cell>
          <cell r="H7">
            <v>2.1499999999999998E-2</v>
          </cell>
        </row>
        <row r="8">
          <cell r="C8">
            <v>1285622848.7052631</v>
          </cell>
          <cell r="E8">
            <v>6</v>
          </cell>
          <cell r="F8">
            <v>2.8500000000000001E-2</v>
          </cell>
          <cell r="H8">
            <v>2.8500000000000001E-2</v>
          </cell>
        </row>
        <row r="9">
          <cell r="B9">
            <v>0.1</v>
          </cell>
          <cell r="E9">
            <v>7</v>
          </cell>
          <cell r="F9">
            <v>2.5499999999999998E-2</v>
          </cell>
          <cell r="H9">
            <v>2.5499999999999998E-2</v>
          </cell>
        </row>
        <row r="10">
          <cell r="B10">
            <v>0.05</v>
          </cell>
          <cell r="E10">
            <v>8</v>
          </cell>
          <cell r="F10">
            <v>2.35E-2</v>
          </cell>
          <cell r="H10">
            <v>2.35E-2</v>
          </cell>
        </row>
        <row r="11">
          <cell r="B11">
            <v>0.02</v>
          </cell>
          <cell r="E11">
            <v>9</v>
          </cell>
          <cell r="F11">
            <v>2.75E-2</v>
          </cell>
          <cell r="H11">
            <v>2.75E-2</v>
          </cell>
        </row>
        <row r="12">
          <cell r="B12">
            <v>6.0000000000000001E-3</v>
          </cell>
          <cell r="E12">
            <v>10</v>
          </cell>
          <cell r="F12">
            <v>2.5499999999999998E-2</v>
          </cell>
          <cell r="H12">
            <v>2.5499999999999998E-2</v>
          </cell>
        </row>
        <row r="13">
          <cell r="B13">
            <v>44</v>
          </cell>
          <cell r="E13">
            <v>11</v>
          </cell>
          <cell r="F13">
            <v>1.95E-2</v>
          </cell>
          <cell r="H13">
            <v>1.95E-2</v>
          </cell>
        </row>
        <row r="14">
          <cell r="B14">
            <v>0.1</v>
          </cell>
          <cell r="E14">
            <v>12</v>
          </cell>
          <cell r="F14">
            <v>0.02</v>
          </cell>
          <cell r="H14">
            <v>0.02</v>
          </cell>
        </row>
        <row r="15">
          <cell r="B15">
            <v>0.05</v>
          </cell>
          <cell r="E15">
            <v>13</v>
          </cell>
          <cell r="F15">
            <v>2.1499999999999998E-2</v>
          </cell>
          <cell r="H15">
            <v>2.1499999999999998E-2</v>
          </cell>
        </row>
        <row r="16">
          <cell r="B16">
            <v>0.05</v>
          </cell>
          <cell r="E16">
            <v>14</v>
          </cell>
          <cell r="F16">
            <v>2.2499999999999999E-2</v>
          </cell>
          <cell r="H16">
            <v>2.2499999999999999E-2</v>
          </cell>
        </row>
        <row r="17">
          <cell r="B17">
            <v>0.16666666666666666</v>
          </cell>
          <cell r="E17">
            <v>15</v>
          </cell>
          <cell r="F17">
            <v>2.35E-2</v>
          </cell>
          <cell r="H17">
            <v>2.35E-2</v>
          </cell>
        </row>
        <row r="18">
          <cell r="B18">
            <v>0.2</v>
          </cell>
          <cell r="E18">
            <v>16</v>
          </cell>
          <cell r="F18">
            <v>2.5499999999999998E-2</v>
          </cell>
          <cell r="H18">
            <v>2.5499999999999998E-2</v>
          </cell>
        </row>
        <row r="19">
          <cell r="B19">
            <v>0.8</v>
          </cell>
          <cell r="E19">
            <v>17</v>
          </cell>
          <cell r="F19">
            <v>2.75E-2</v>
          </cell>
          <cell r="H19">
            <v>2.75E-2</v>
          </cell>
        </row>
        <row r="20">
          <cell r="B20">
            <v>1</v>
          </cell>
          <cell r="E20">
            <v>18</v>
          </cell>
          <cell r="F20">
            <v>2.9499999999999998E-2</v>
          </cell>
          <cell r="H20">
            <v>2.9499999999999998E-2</v>
          </cell>
        </row>
        <row r="21">
          <cell r="B21">
            <v>500000</v>
          </cell>
          <cell r="E21">
            <v>19</v>
          </cell>
          <cell r="F21">
            <v>3.15E-2</v>
          </cell>
          <cell r="H21">
            <v>3.15E-2</v>
          </cell>
        </row>
        <row r="22">
          <cell r="E22">
            <v>20</v>
          </cell>
          <cell r="F22">
            <v>2.8500000000000001E-2</v>
          </cell>
          <cell r="H22">
            <v>2.8500000000000001E-2</v>
          </cell>
        </row>
        <row r="23">
          <cell r="E23">
            <v>21</v>
          </cell>
          <cell r="F23">
            <v>3.0499999999999999E-2</v>
          </cell>
          <cell r="H23">
            <v>3.0499999999999999E-2</v>
          </cell>
        </row>
        <row r="24">
          <cell r="B24">
            <v>0.05</v>
          </cell>
          <cell r="E24">
            <v>22</v>
          </cell>
          <cell r="F24">
            <v>3.2500000000000001E-2</v>
          </cell>
          <cell r="H24">
            <v>3.2500000000000001E-2</v>
          </cell>
        </row>
        <row r="25">
          <cell r="E25">
            <v>23</v>
          </cell>
          <cell r="F25">
            <v>2.8500000000000001E-2</v>
          </cell>
          <cell r="H25">
            <v>2.8500000000000001E-2</v>
          </cell>
        </row>
        <row r="26">
          <cell r="E26">
            <v>24</v>
          </cell>
          <cell r="F26">
            <v>2.75E-2</v>
          </cell>
          <cell r="H26">
            <v>2.75E-2</v>
          </cell>
        </row>
        <row r="27">
          <cell r="E27">
            <v>25</v>
          </cell>
          <cell r="F27">
            <v>2.4E-2</v>
          </cell>
          <cell r="H27">
            <v>2.4E-2</v>
          </cell>
        </row>
        <row r="28">
          <cell r="E28">
            <v>26</v>
          </cell>
          <cell r="F28">
            <v>2.35E-2</v>
          </cell>
          <cell r="H28">
            <v>2.35E-2</v>
          </cell>
        </row>
        <row r="29">
          <cell r="B29">
            <v>0</v>
          </cell>
          <cell r="E29">
            <v>27</v>
          </cell>
          <cell r="F29">
            <v>2.1499999999999998E-2</v>
          </cell>
          <cell r="H29">
            <v>2.1499999999999998E-2</v>
          </cell>
        </row>
        <row r="30">
          <cell r="E30">
            <v>28</v>
          </cell>
          <cell r="F30">
            <v>2.1499999999999998E-2</v>
          </cell>
          <cell r="H30">
            <v>2.1499999999999998E-2</v>
          </cell>
        </row>
        <row r="31">
          <cell r="E31">
            <v>29</v>
          </cell>
          <cell r="F31">
            <v>0.02</v>
          </cell>
          <cell r="H31">
            <v>0.02</v>
          </cell>
        </row>
        <row r="32">
          <cell r="E32">
            <v>30</v>
          </cell>
          <cell r="F32">
            <v>1.95E-2</v>
          </cell>
          <cell r="H32">
            <v>1.95E-2</v>
          </cell>
        </row>
        <row r="33">
          <cell r="E33">
            <v>31</v>
          </cell>
          <cell r="F33">
            <v>2.6499999999999999E-2</v>
          </cell>
          <cell r="H33">
            <v>2.6499999999999999E-2</v>
          </cell>
        </row>
        <row r="34">
          <cell r="E34">
            <v>32</v>
          </cell>
          <cell r="F34">
            <v>2.75E-2</v>
          </cell>
          <cell r="H34">
            <v>2.75E-2</v>
          </cell>
        </row>
        <row r="35">
          <cell r="E35">
            <v>33</v>
          </cell>
          <cell r="F35">
            <v>3.15E-2</v>
          </cell>
          <cell r="H35">
            <v>3.15E-2</v>
          </cell>
        </row>
        <row r="36">
          <cell r="E36">
            <v>34</v>
          </cell>
          <cell r="F36">
            <v>2.9499999999999998E-2</v>
          </cell>
          <cell r="H36">
            <v>2.9499999999999998E-2</v>
          </cell>
        </row>
        <row r="37">
          <cell r="E37">
            <v>35</v>
          </cell>
          <cell r="F37">
            <v>3.0499999999999999E-2</v>
          </cell>
          <cell r="H37">
            <v>3.0499999999999999E-2</v>
          </cell>
        </row>
        <row r="38">
          <cell r="E38">
            <v>36</v>
          </cell>
          <cell r="F38">
            <v>2.9499999999999998E-2</v>
          </cell>
          <cell r="H38">
            <v>2.9499999999999998E-2</v>
          </cell>
        </row>
        <row r="39">
          <cell r="E39">
            <v>37</v>
          </cell>
          <cell r="F39">
            <v>2.8500000000000001E-2</v>
          </cell>
          <cell r="H39">
            <v>2.8500000000000001E-2</v>
          </cell>
        </row>
        <row r="40">
          <cell r="E40">
            <v>38</v>
          </cell>
          <cell r="F40">
            <v>2.75E-2</v>
          </cell>
          <cell r="H40">
            <v>2.75E-2</v>
          </cell>
        </row>
        <row r="41">
          <cell r="E41">
            <v>39</v>
          </cell>
          <cell r="F41">
            <v>1.6500000000000001E-2</v>
          </cell>
          <cell r="H41">
            <v>1.6500000000000001E-2</v>
          </cell>
        </row>
        <row r="42">
          <cell r="E42">
            <v>40</v>
          </cell>
          <cell r="F42">
            <v>1.4500000000000001E-2</v>
          </cell>
          <cell r="H42">
            <v>1.4500000000000001E-2</v>
          </cell>
        </row>
        <row r="43">
          <cell r="E43">
            <v>41</v>
          </cell>
          <cell r="F43">
            <v>1.6500000000000001E-2</v>
          </cell>
          <cell r="H43">
            <v>1.6500000000000001E-2</v>
          </cell>
        </row>
        <row r="44">
          <cell r="E44">
            <v>42</v>
          </cell>
          <cell r="F44">
            <v>1.55E-2</v>
          </cell>
          <cell r="H44">
            <v>1.55E-2</v>
          </cell>
        </row>
        <row r="45">
          <cell r="E45">
            <v>43</v>
          </cell>
          <cell r="F45">
            <v>1.35E-2</v>
          </cell>
          <cell r="H45">
            <v>1.35E-2</v>
          </cell>
        </row>
        <row r="46">
          <cell r="E46">
            <v>44</v>
          </cell>
          <cell r="F46">
            <v>1.35E-2</v>
          </cell>
          <cell r="H46">
            <v>1.35E-2</v>
          </cell>
        </row>
        <row r="47">
          <cell r="E47">
            <v>45</v>
          </cell>
        </row>
        <row r="48">
          <cell r="E48">
            <v>46</v>
          </cell>
        </row>
        <row r="49">
          <cell r="E49">
            <v>47</v>
          </cell>
        </row>
        <row r="50">
          <cell r="E50">
            <v>48</v>
          </cell>
        </row>
        <row r="51">
          <cell r="E51">
            <v>49</v>
          </cell>
        </row>
        <row r="52">
          <cell r="E52">
            <v>50</v>
          </cell>
        </row>
        <row r="53">
          <cell r="E53">
            <v>51</v>
          </cell>
        </row>
        <row r="54">
          <cell r="E54">
            <v>52</v>
          </cell>
        </row>
        <row r="55">
          <cell r="E55">
            <v>53</v>
          </cell>
        </row>
        <row r="56">
          <cell r="E56">
            <v>54</v>
          </cell>
        </row>
        <row r="57">
          <cell r="E57">
            <v>55</v>
          </cell>
        </row>
        <row r="58">
          <cell r="E58">
            <v>56</v>
          </cell>
        </row>
      </sheetData>
      <sheetData sheetId="2">
        <row r="13">
          <cell r="H13">
            <v>464794558.50999999</v>
          </cell>
        </row>
      </sheetData>
      <sheetData sheetId="3"/>
      <sheetData sheetId="4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管理費說明"/>
      <sheetName val="假設貼貼"/>
      <sheetName val="假設編列原則"/>
      <sheetName val="地坪"/>
      <sheetName val="平頂"/>
      <sheetName val="內牆"/>
      <sheetName val="外牆"/>
      <sheetName val="結構"/>
      <sheetName val="單價分析"/>
      <sheetName val="單價分析 (2)"/>
      <sheetName val="人事管理費明細"/>
      <sheetName val="預算成本分析"/>
      <sheetName val="工料單價"/>
      <sheetName val="外勞鋼筋工程"/>
      <sheetName val="外勞傳模"/>
      <sheetName val="外勞系模"/>
      <sheetName val="工程預算施工進度表"/>
      <sheetName val="模板成本分析"/>
      <sheetName val="模板"/>
      <sheetName val="塔吊攤提原則"/>
      <sheetName val="塔吊分析"/>
      <sheetName val="塔吊預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681">
          <cell r="F681" t="str">
            <v>地坪貼20*20磁磚(硬底)</v>
          </cell>
        </row>
        <row r="690">
          <cell r="F690" t="str">
            <v>地坪防水貼20*20磁磚(硬底)</v>
          </cell>
        </row>
        <row r="708">
          <cell r="F708" t="str">
            <v>樓梯貼20*20石英磚(硬底)</v>
          </cell>
        </row>
        <row r="832">
          <cell r="F832" t="str">
            <v>地坪防水貼20*25磁磚(軟底)</v>
          </cell>
        </row>
        <row r="915">
          <cell r="F915" t="str">
            <v>地坪貼30*30石英磚(軟底)</v>
          </cell>
        </row>
        <row r="930">
          <cell r="F930" t="str">
            <v>地坪貼40*40磁磚(軟底)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預算書"/>
      <sheetName val="門窗"/>
      <sheetName val="鋁窗分析"/>
      <sheetName val="五金"/>
      <sheetName val="玻璃"/>
      <sheetName val="鐵捲門"/>
      <sheetName val="看這裡"/>
      <sheetName val="模板成本分析"/>
      <sheetName val="塔吊"/>
      <sheetName val="模板"/>
      <sheetName val="追加減帳"/>
      <sheetName val="工料單價"/>
      <sheetName val="成本分析"/>
      <sheetName val="假設工程"/>
      <sheetName val="鋁門窗及其他"/>
      <sheetName val="捲門"/>
      <sheetName val="假設編列原則"/>
      <sheetName val="Sheet1"/>
      <sheetName val="工務所"/>
      <sheetName val="單價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街廓一、街廓二總表"/>
      <sheetName val="街廓一總表 "/>
      <sheetName val="街廓二總表 "/>
      <sheetName val="看這裡"/>
      <sheetName val="鋁門窗&amp;其他"/>
      <sheetName val="捲門"/>
      <sheetName val="工料單價"/>
      <sheetName val="單價分析"/>
      <sheetName val="預算書"/>
      <sheetName val="成本分析 "/>
      <sheetName val="模板及鋼筋分析"/>
      <sheetName val="預算書乙"/>
      <sheetName val="門窗"/>
      <sheetName val="磁磚"/>
      <sheetName val="天花板"/>
      <sheetName val="欄杆"/>
      <sheetName val="連續壁"/>
      <sheetName val="金屬門"/>
      <sheetName val="電動鐵捲門"/>
      <sheetName val="五金"/>
      <sheetName val="假設工程"/>
      <sheetName val="成本分析  (2)"/>
      <sheetName val="防水材料"/>
      <sheetName val="水平支撐"/>
      <sheetName val="雨水"/>
      <sheetName val="雜項鐵件"/>
      <sheetName val="鋼筋模板"/>
      <sheetName val="成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">
          <cell r="J7">
            <v>150</v>
          </cell>
        </row>
        <row r="11">
          <cell r="B11">
            <v>110</v>
          </cell>
        </row>
        <row r="26">
          <cell r="J26">
            <v>200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報表( SOP)"/>
      <sheetName val="日報表( SOP) (2)"/>
      <sheetName val="承商日報表(1)"/>
      <sheetName val="承商日報表(2)"/>
      <sheetName val="數量"/>
      <sheetName val="天機工"/>
      <sheetName val="記事"/>
      <sheetName val="累計數量"/>
    </sheetNames>
    <sheetDataSet>
      <sheetData sheetId="0"/>
      <sheetData sheetId="1"/>
      <sheetData sheetId="2"/>
      <sheetData sheetId="3"/>
      <sheetData sheetId="4">
        <row r="3">
          <cell r="A3">
            <v>1</v>
          </cell>
          <cell r="B3">
            <v>1</v>
          </cell>
          <cell r="C3">
            <v>3</v>
          </cell>
        </row>
        <row r="4">
          <cell r="A4">
            <v>0</v>
          </cell>
          <cell r="B4">
            <v>0</v>
          </cell>
          <cell r="C4">
            <v>4</v>
          </cell>
        </row>
        <row r="5">
          <cell r="A5">
            <v>2</v>
          </cell>
          <cell r="B5">
            <v>1</v>
          </cell>
          <cell r="C5">
            <v>5</v>
          </cell>
        </row>
        <row r="6">
          <cell r="A6">
            <v>0</v>
          </cell>
          <cell r="B6">
            <v>0</v>
          </cell>
          <cell r="C6">
            <v>6</v>
          </cell>
        </row>
        <row r="7">
          <cell r="A7">
            <v>0</v>
          </cell>
          <cell r="B7">
            <v>0</v>
          </cell>
          <cell r="C7">
            <v>7</v>
          </cell>
        </row>
        <row r="8">
          <cell r="A8">
            <v>0</v>
          </cell>
          <cell r="B8">
            <v>0</v>
          </cell>
          <cell r="C8">
            <v>8</v>
          </cell>
        </row>
        <row r="9">
          <cell r="A9">
            <v>0</v>
          </cell>
          <cell r="B9">
            <v>0</v>
          </cell>
          <cell r="C9">
            <v>9</v>
          </cell>
        </row>
        <row r="10">
          <cell r="A10">
            <v>0</v>
          </cell>
          <cell r="B10">
            <v>0</v>
          </cell>
          <cell r="C10">
            <v>10</v>
          </cell>
        </row>
        <row r="11">
          <cell r="A11">
            <v>0</v>
          </cell>
          <cell r="B11">
            <v>0</v>
          </cell>
          <cell r="C11">
            <v>11</v>
          </cell>
        </row>
        <row r="12">
          <cell r="A12">
            <v>0</v>
          </cell>
          <cell r="B12">
            <v>0</v>
          </cell>
          <cell r="C12">
            <v>12</v>
          </cell>
        </row>
        <row r="13">
          <cell r="A13">
            <v>0</v>
          </cell>
          <cell r="B13">
            <v>0</v>
          </cell>
          <cell r="C13">
            <v>13</v>
          </cell>
        </row>
        <row r="14">
          <cell r="A14">
            <v>0</v>
          </cell>
          <cell r="B14">
            <v>0</v>
          </cell>
          <cell r="C14">
            <v>14</v>
          </cell>
        </row>
        <row r="15">
          <cell r="A15">
            <v>0</v>
          </cell>
          <cell r="B15">
            <v>0</v>
          </cell>
          <cell r="C15">
            <v>15</v>
          </cell>
        </row>
        <row r="16">
          <cell r="A16">
            <v>0</v>
          </cell>
          <cell r="B16">
            <v>0</v>
          </cell>
          <cell r="C16">
            <v>16</v>
          </cell>
        </row>
        <row r="17">
          <cell r="A17">
            <v>0</v>
          </cell>
          <cell r="B17">
            <v>0</v>
          </cell>
          <cell r="C17">
            <v>17</v>
          </cell>
        </row>
        <row r="18">
          <cell r="A18">
            <v>0</v>
          </cell>
          <cell r="B18">
            <v>0</v>
          </cell>
          <cell r="C18">
            <v>18</v>
          </cell>
        </row>
        <row r="19">
          <cell r="A19">
            <v>0</v>
          </cell>
          <cell r="B19">
            <v>0</v>
          </cell>
          <cell r="C19">
            <v>19</v>
          </cell>
        </row>
        <row r="20">
          <cell r="A20">
            <v>0</v>
          </cell>
          <cell r="B20">
            <v>0</v>
          </cell>
          <cell r="C20">
            <v>20</v>
          </cell>
        </row>
        <row r="21">
          <cell r="A21">
            <v>0</v>
          </cell>
          <cell r="B21">
            <v>0</v>
          </cell>
          <cell r="C21">
            <v>21</v>
          </cell>
        </row>
        <row r="22">
          <cell r="A22">
            <v>0</v>
          </cell>
          <cell r="B22">
            <v>0</v>
          </cell>
          <cell r="C22">
            <v>22</v>
          </cell>
        </row>
        <row r="23">
          <cell r="A23">
            <v>0</v>
          </cell>
          <cell r="B23">
            <v>0</v>
          </cell>
          <cell r="C23">
            <v>23</v>
          </cell>
        </row>
        <row r="24">
          <cell r="A24">
            <v>3</v>
          </cell>
          <cell r="B24">
            <v>1</v>
          </cell>
          <cell r="C24">
            <v>24</v>
          </cell>
        </row>
        <row r="25">
          <cell r="A25">
            <v>0</v>
          </cell>
          <cell r="B25">
            <v>0</v>
          </cell>
          <cell r="C25">
            <v>25</v>
          </cell>
        </row>
        <row r="26">
          <cell r="A26">
            <v>4</v>
          </cell>
          <cell r="B26">
            <v>1</v>
          </cell>
          <cell r="C26">
            <v>26</v>
          </cell>
        </row>
        <row r="27">
          <cell r="C27">
            <v>27</v>
          </cell>
        </row>
        <row r="28">
          <cell r="A28">
            <v>0</v>
          </cell>
          <cell r="C28">
            <v>28</v>
          </cell>
        </row>
        <row r="29">
          <cell r="A29">
            <v>5</v>
          </cell>
          <cell r="B29">
            <v>1</v>
          </cell>
          <cell r="C29">
            <v>29</v>
          </cell>
        </row>
        <row r="30">
          <cell r="A30">
            <v>6</v>
          </cell>
          <cell r="B30">
            <v>1</v>
          </cell>
          <cell r="C30">
            <v>30</v>
          </cell>
        </row>
        <row r="31">
          <cell r="A31">
            <v>7</v>
          </cell>
          <cell r="B31">
            <v>1</v>
          </cell>
          <cell r="C31">
            <v>31</v>
          </cell>
        </row>
        <row r="32">
          <cell r="A32">
            <v>0</v>
          </cell>
          <cell r="C32">
            <v>32</v>
          </cell>
        </row>
      </sheetData>
      <sheetData sheetId="5"/>
      <sheetData sheetId="6"/>
      <sheetData sheetId="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各工地攤提"/>
      <sheetName val="各月成本"/>
      <sheetName val="建築編碼"/>
      <sheetName val="預算書"/>
      <sheetName val="差異分析明細"/>
      <sheetName val="工程差異分析表"/>
    </sheetNames>
    <sheetDataSet>
      <sheetData sheetId="0"/>
      <sheetData sheetId="1"/>
      <sheetData sheetId="2"/>
      <sheetData sheetId="3"/>
      <sheetData sheetId="4">
        <row r="2">
          <cell r="B2" t="str">
            <v>預算工期</v>
          </cell>
        </row>
        <row r="3">
          <cell r="B3" t="str">
            <v>合約金額</v>
          </cell>
        </row>
        <row r="4">
          <cell r="B4" t="str">
            <v>出標毛利</v>
          </cell>
        </row>
        <row r="5">
          <cell r="B5" t="str">
            <v>預算金額</v>
          </cell>
          <cell r="H5" t="str">
            <v xml:space="preserve"> </v>
          </cell>
        </row>
        <row r="6">
          <cell r="B6" t="str">
            <v>預算毛利</v>
          </cell>
        </row>
        <row r="8">
          <cell r="B8" t="str">
            <v>工程預算</v>
          </cell>
          <cell r="AG8" t="str">
            <v>估驗成控</v>
          </cell>
        </row>
        <row r="9">
          <cell r="B9" t="str">
            <v>編號</v>
          </cell>
          <cell r="H9" t="str">
            <v>預算複價</v>
          </cell>
          <cell r="AG9" t="str">
            <v>累計估驗</v>
          </cell>
        </row>
        <row r="10">
          <cell r="B10" t="str">
            <v>1H000000</v>
          </cell>
          <cell r="H10">
            <v>398350000</v>
          </cell>
          <cell r="AG10">
            <v>8775540</v>
          </cell>
        </row>
        <row r="11">
          <cell r="B11" t="str">
            <v>1K000000</v>
          </cell>
          <cell r="AG11">
            <v>0</v>
          </cell>
        </row>
        <row r="12">
          <cell r="B12" t="str">
            <v>1A010000</v>
          </cell>
          <cell r="H12">
            <v>36000000</v>
          </cell>
          <cell r="AG12">
            <v>19795530</v>
          </cell>
        </row>
        <row r="13">
          <cell r="B13" t="str">
            <v>1A020000</v>
          </cell>
          <cell r="H13">
            <v>140380</v>
          </cell>
          <cell r="AG13">
            <v>163464</v>
          </cell>
        </row>
        <row r="14">
          <cell r="B14" t="str">
            <v>1A030000</v>
          </cell>
          <cell r="H14">
            <v>0</v>
          </cell>
          <cell r="AG14">
            <v>37977</v>
          </cell>
        </row>
        <row r="15">
          <cell r="B15" t="str">
            <v>1A040000</v>
          </cell>
          <cell r="H15">
            <v>420000</v>
          </cell>
          <cell r="AG15">
            <v>29280</v>
          </cell>
        </row>
        <row r="16">
          <cell r="B16" t="str">
            <v>1A050000</v>
          </cell>
          <cell r="H16">
            <v>1036000</v>
          </cell>
          <cell r="AG16">
            <v>475710</v>
          </cell>
        </row>
        <row r="17">
          <cell r="B17" t="str">
            <v>1A060000</v>
          </cell>
          <cell r="H17">
            <v>380160</v>
          </cell>
          <cell r="AG17">
            <v>13851</v>
          </cell>
        </row>
        <row r="18">
          <cell r="B18" t="str">
            <v>1A070000</v>
          </cell>
          <cell r="H18">
            <v>2792734.2240000004</v>
          </cell>
          <cell r="AG18">
            <v>2767988</v>
          </cell>
        </row>
        <row r="19">
          <cell r="B19" t="str">
            <v>1A080000</v>
          </cell>
          <cell r="H19">
            <v>0</v>
          </cell>
          <cell r="AG19">
            <v>6353294</v>
          </cell>
        </row>
        <row r="20">
          <cell r="B20" t="str">
            <v>1A090000</v>
          </cell>
          <cell r="H20">
            <v>38100</v>
          </cell>
          <cell r="AG20">
            <v>0</v>
          </cell>
        </row>
        <row r="21">
          <cell r="B21" t="str">
            <v>1A100000</v>
          </cell>
          <cell r="H21">
            <v>535500</v>
          </cell>
          <cell r="AG21">
            <v>381976</v>
          </cell>
        </row>
        <row r="22">
          <cell r="B22" t="str">
            <v>1A110000</v>
          </cell>
          <cell r="H22">
            <v>2910000</v>
          </cell>
          <cell r="AG22">
            <v>952817</v>
          </cell>
        </row>
        <row r="23">
          <cell r="B23" t="str">
            <v>1A120000</v>
          </cell>
          <cell r="H23">
            <v>2286500</v>
          </cell>
          <cell r="AG23">
            <v>3368937</v>
          </cell>
        </row>
        <row r="24">
          <cell r="B24" t="str">
            <v>1A130000</v>
          </cell>
          <cell r="H24">
            <v>8607917.0127999987</v>
          </cell>
          <cell r="AG24">
            <v>10892696</v>
          </cell>
        </row>
        <row r="25">
          <cell r="B25" t="str">
            <v>1A140000</v>
          </cell>
          <cell r="H25">
            <v>182000</v>
          </cell>
          <cell r="AG25">
            <v>1726422</v>
          </cell>
        </row>
        <row r="26">
          <cell r="B26" t="str">
            <v>1A150000</v>
          </cell>
          <cell r="H26">
            <v>12000</v>
          </cell>
          <cell r="AG26">
            <v>148953</v>
          </cell>
        </row>
        <row r="27">
          <cell r="B27" t="str">
            <v>1A160000</v>
          </cell>
          <cell r="H27">
            <v>51700</v>
          </cell>
          <cell r="AG27">
            <v>0</v>
          </cell>
        </row>
        <row r="28">
          <cell r="B28" t="str">
            <v>1A170000</v>
          </cell>
          <cell r="H28">
            <v>234678.55291970802</v>
          </cell>
          <cell r="AG28">
            <v>322457</v>
          </cell>
        </row>
        <row r="29">
          <cell r="B29" t="str">
            <v>1A180000</v>
          </cell>
          <cell r="H29">
            <v>330660</v>
          </cell>
          <cell r="AG29">
            <v>560320</v>
          </cell>
        </row>
        <row r="30">
          <cell r="B30" t="str">
            <v>1A190000</v>
          </cell>
          <cell r="H30">
            <v>0</v>
          </cell>
          <cell r="AG30">
            <v>0</v>
          </cell>
        </row>
        <row r="31">
          <cell r="B31" t="str">
            <v>1A200000</v>
          </cell>
          <cell r="H31">
            <v>907716</v>
          </cell>
          <cell r="AG31">
            <v>257933</v>
          </cell>
        </row>
        <row r="32">
          <cell r="B32" t="str">
            <v>1A210000</v>
          </cell>
          <cell r="H32">
            <v>1508235</v>
          </cell>
          <cell r="AG32">
            <v>3099831</v>
          </cell>
        </row>
        <row r="33">
          <cell r="B33" t="str">
            <v>1A220000</v>
          </cell>
          <cell r="H33">
            <v>760000</v>
          </cell>
          <cell r="AG33">
            <v>317000</v>
          </cell>
        </row>
        <row r="34">
          <cell r="B34" t="str">
            <v>1A230000</v>
          </cell>
          <cell r="H34">
            <v>2500000</v>
          </cell>
          <cell r="AG34">
            <v>1119300</v>
          </cell>
        </row>
        <row r="35">
          <cell r="B35" t="str">
            <v>1A260000</v>
          </cell>
          <cell r="H35">
            <v>17602740.476190478</v>
          </cell>
          <cell r="AG35">
            <v>4821132</v>
          </cell>
        </row>
        <row r="36">
          <cell r="B36" t="str">
            <v>1A250000</v>
          </cell>
          <cell r="H36">
            <v>2370000</v>
          </cell>
          <cell r="AG36">
            <v>86738</v>
          </cell>
        </row>
        <row r="37">
          <cell r="B37" t="str">
            <v>1B21F02A</v>
          </cell>
          <cell r="H37">
            <v>8571428.5714285709</v>
          </cell>
          <cell r="AG37">
            <v>5200007</v>
          </cell>
        </row>
        <row r="38">
          <cell r="B38" t="str">
            <v>1C01G20A</v>
          </cell>
          <cell r="H38">
            <v>14374850</v>
          </cell>
          <cell r="AG38">
            <v>5043922</v>
          </cell>
        </row>
        <row r="39">
          <cell r="B39" t="str">
            <v>1C01G21A</v>
          </cell>
          <cell r="H39">
            <v>4107100</v>
          </cell>
          <cell r="AG39">
            <v>2846724</v>
          </cell>
        </row>
        <row r="40">
          <cell r="B40" t="str">
            <v>1C01G22A</v>
          </cell>
          <cell r="H40">
            <v>0</v>
          </cell>
          <cell r="AG40">
            <v>0</v>
          </cell>
        </row>
        <row r="41">
          <cell r="B41" t="str">
            <v>1C01G23A</v>
          </cell>
          <cell r="H41">
            <v>0</v>
          </cell>
          <cell r="AG41">
            <v>0</v>
          </cell>
        </row>
        <row r="42">
          <cell r="B42" t="str">
            <v>1C01G20A</v>
          </cell>
          <cell r="H42">
            <v>560074.11764705891</v>
          </cell>
          <cell r="AG42">
            <v>405120</v>
          </cell>
        </row>
        <row r="43">
          <cell r="B43" t="str">
            <v>1A19000C</v>
          </cell>
          <cell r="H43">
            <v>41616.699999999997</v>
          </cell>
          <cell r="AG43">
            <v>0</v>
          </cell>
        </row>
        <row r="44">
          <cell r="B44" t="str">
            <v>1A19000E</v>
          </cell>
          <cell r="H44">
            <v>1244339.33</v>
          </cell>
          <cell r="AG44">
            <v>390827</v>
          </cell>
        </row>
        <row r="45">
          <cell r="B45" t="str">
            <v>1A19000E</v>
          </cell>
          <cell r="H45">
            <v>189355.98500000004</v>
          </cell>
          <cell r="AG45">
            <v>0</v>
          </cell>
        </row>
        <row r="46">
          <cell r="B46" t="str">
            <v>1A19000A</v>
          </cell>
          <cell r="H46">
            <v>41616.699999999997</v>
          </cell>
          <cell r="AG46">
            <v>0</v>
          </cell>
        </row>
        <row r="47">
          <cell r="B47" t="str">
            <v>1A19000A</v>
          </cell>
          <cell r="H47">
            <v>832334</v>
          </cell>
          <cell r="AG47">
            <v>432761</v>
          </cell>
        </row>
        <row r="48">
          <cell r="B48" t="str">
            <v>1B81F62A</v>
          </cell>
          <cell r="H48">
            <v>102000</v>
          </cell>
          <cell r="AG48">
            <v>0</v>
          </cell>
        </row>
        <row r="49">
          <cell r="B49" t="str">
            <v>1B81F66A</v>
          </cell>
          <cell r="H49">
            <v>22000</v>
          </cell>
          <cell r="AG49">
            <v>103600</v>
          </cell>
        </row>
        <row r="50">
          <cell r="B50" t="str">
            <v>1B81F61A</v>
          </cell>
          <cell r="H50">
            <v>18234</v>
          </cell>
          <cell r="AG50">
            <v>0</v>
          </cell>
        </row>
        <row r="51">
          <cell r="B51" t="str">
            <v>1B81F61A</v>
          </cell>
          <cell r="H51">
            <v>7976</v>
          </cell>
          <cell r="AG51">
            <v>0</v>
          </cell>
        </row>
        <row r="52">
          <cell r="B52" t="str">
            <v>1B81F61A</v>
          </cell>
          <cell r="H52">
            <v>7536</v>
          </cell>
          <cell r="AG52">
            <v>0</v>
          </cell>
        </row>
        <row r="53">
          <cell r="B53" t="str">
            <v>1B81F68A</v>
          </cell>
          <cell r="H53">
            <v>180000</v>
          </cell>
          <cell r="AG53">
            <v>0</v>
          </cell>
        </row>
        <row r="54">
          <cell r="B54" t="str">
            <v>1B01E01G</v>
          </cell>
          <cell r="H54">
            <v>786000</v>
          </cell>
          <cell r="AG54">
            <v>3268685</v>
          </cell>
        </row>
        <row r="55">
          <cell r="B55" t="str">
            <v>1B01E01G</v>
          </cell>
          <cell r="H55">
            <v>480000</v>
          </cell>
          <cell r="AG55">
            <v>572699</v>
          </cell>
        </row>
        <row r="56">
          <cell r="B56" t="str">
            <v>1B01E01G</v>
          </cell>
          <cell r="H56">
            <v>280800</v>
          </cell>
          <cell r="AG56">
            <v>8400</v>
          </cell>
        </row>
        <row r="57">
          <cell r="B57" t="str">
            <v>1B01E01A</v>
          </cell>
          <cell r="H57">
            <v>711480</v>
          </cell>
          <cell r="AG57">
            <v>976496</v>
          </cell>
        </row>
        <row r="58">
          <cell r="B58" t="str">
            <v>1B01E01A</v>
          </cell>
          <cell r="H58">
            <v>367560</v>
          </cell>
          <cell r="AG58">
            <v>503044</v>
          </cell>
        </row>
        <row r="59">
          <cell r="B59" t="str">
            <v>1B71E58A</v>
          </cell>
          <cell r="H59">
            <v>0</v>
          </cell>
          <cell r="AG59">
            <v>0</v>
          </cell>
        </row>
        <row r="60">
          <cell r="B60" t="str">
            <v>1B71E58A</v>
          </cell>
          <cell r="H60">
            <v>0</v>
          </cell>
          <cell r="AG60">
            <v>0</v>
          </cell>
        </row>
        <row r="61">
          <cell r="B61" t="str">
            <v>1B71E93A</v>
          </cell>
          <cell r="H61">
            <v>0</v>
          </cell>
          <cell r="AG61">
            <v>0</v>
          </cell>
        </row>
        <row r="62">
          <cell r="B62" t="str">
            <v>1B71E91A</v>
          </cell>
          <cell r="H62">
            <v>0</v>
          </cell>
          <cell r="AG62">
            <v>650000</v>
          </cell>
        </row>
        <row r="63">
          <cell r="B63" t="str">
            <v>1B71E94A</v>
          </cell>
          <cell r="H63">
            <v>0</v>
          </cell>
          <cell r="AG63">
            <v>0</v>
          </cell>
        </row>
        <row r="64">
          <cell r="B64" t="str">
            <v>1B41E71B</v>
          </cell>
          <cell r="H64">
            <v>538016</v>
          </cell>
          <cell r="AG64">
            <v>0</v>
          </cell>
        </row>
        <row r="65">
          <cell r="B65" t="str">
            <v>1B41A20A</v>
          </cell>
          <cell r="H65">
            <v>85036.800000000003</v>
          </cell>
          <cell r="AG65">
            <v>0</v>
          </cell>
        </row>
        <row r="66">
          <cell r="B66" t="str">
            <v>1B41A21A</v>
          </cell>
          <cell r="H66">
            <v>467702.4</v>
          </cell>
          <cell r="AG66">
            <v>0</v>
          </cell>
        </row>
        <row r="67">
          <cell r="B67" t="str">
            <v>1B41C24A</v>
          </cell>
          <cell r="H67">
            <v>791084.02285714273</v>
          </cell>
          <cell r="AG67">
            <v>0</v>
          </cell>
        </row>
        <row r="68">
          <cell r="B68" t="str">
            <v>1B41E73A</v>
          </cell>
          <cell r="H68">
            <v>215740</v>
          </cell>
          <cell r="AG68">
            <v>0</v>
          </cell>
        </row>
        <row r="69">
          <cell r="B69" t="str">
            <v>1B41E71B</v>
          </cell>
          <cell r="H69">
            <v>138142</v>
          </cell>
          <cell r="AG69">
            <v>0</v>
          </cell>
        </row>
        <row r="70">
          <cell r="B70" t="str">
            <v>1B41A20A</v>
          </cell>
          <cell r="H70">
            <v>23533.439999999999</v>
          </cell>
          <cell r="AG70">
            <v>0</v>
          </cell>
        </row>
        <row r="71">
          <cell r="B71" t="str">
            <v>1B41A21A</v>
          </cell>
          <cell r="H71">
            <v>127752.96000000001</v>
          </cell>
          <cell r="AG71">
            <v>0</v>
          </cell>
        </row>
        <row r="72">
          <cell r="B72" t="str">
            <v>1B41C24A</v>
          </cell>
          <cell r="H72">
            <v>141477.88571428569</v>
          </cell>
          <cell r="AG72">
            <v>0</v>
          </cell>
        </row>
        <row r="73">
          <cell r="B73" t="str">
            <v>1B41E71B</v>
          </cell>
          <cell r="H73">
            <v>130628</v>
          </cell>
          <cell r="AG73">
            <v>0</v>
          </cell>
        </row>
        <row r="74">
          <cell r="B74" t="str">
            <v>1B41A20A</v>
          </cell>
          <cell r="H74">
            <v>20171.52</v>
          </cell>
          <cell r="AG74">
            <v>0</v>
          </cell>
        </row>
        <row r="75">
          <cell r="B75" t="str">
            <v>1B41A21A</v>
          </cell>
          <cell r="H75">
            <v>121029.12</v>
          </cell>
          <cell r="AG75">
            <v>0</v>
          </cell>
        </row>
        <row r="76">
          <cell r="B76" t="str">
            <v>1B41C24A</v>
          </cell>
          <cell r="H76">
            <v>136325.42857142852</v>
          </cell>
          <cell r="AG76">
            <v>0</v>
          </cell>
        </row>
        <row r="77">
          <cell r="B77" t="str">
            <v>1B41A20A</v>
          </cell>
          <cell r="H77">
            <v>33504</v>
          </cell>
          <cell r="AG77">
            <v>0</v>
          </cell>
        </row>
        <row r="78">
          <cell r="B78" t="str">
            <v>1B41A21A</v>
          </cell>
          <cell r="H78">
            <v>67008</v>
          </cell>
          <cell r="AG78">
            <v>0</v>
          </cell>
        </row>
        <row r="79">
          <cell r="B79" t="str">
            <v>1B41C24A</v>
          </cell>
          <cell r="H79">
            <v>81366.85714285713</v>
          </cell>
          <cell r="AG79">
            <v>0</v>
          </cell>
        </row>
        <row r="80">
          <cell r="B80" t="str">
            <v>1B71B00A</v>
          </cell>
          <cell r="H80">
            <v>0</v>
          </cell>
          <cell r="AG80">
            <v>0</v>
          </cell>
        </row>
        <row r="81">
          <cell r="B81" t="str">
            <v>1B71A20A</v>
          </cell>
          <cell r="H81">
            <v>0</v>
          </cell>
          <cell r="AG81">
            <v>0</v>
          </cell>
        </row>
        <row r="82">
          <cell r="B82" t="str">
            <v>1B71A21A</v>
          </cell>
          <cell r="H82">
            <v>0</v>
          </cell>
          <cell r="AG82">
            <v>0</v>
          </cell>
        </row>
        <row r="83">
          <cell r="B83" t="str">
            <v>1B71D43A</v>
          </cell>
          <cell r="H83">
            <v>0</v>
          </cell>
          <cell r="AG83">
            <v>0</v>
          </cell>
        </row>
        <row r="84">
          <cell r="B84" t="str">
            <v>1B71C24A</v>
          </cell>
          <cell r="H84">
            <v>0</v>
          </cell>
          <cell r="AG84">
            <v>0</v>
          </cell>
        </row>
        <row r="85">
          <cell r="B85" t="str">
            <v>1B71E59A</v>
          </cell>
          <cell r="H85">
            <v>0</v>
          </cell>
          <cell r="AG85">
            <v>0</v>
          </cell>
        </row>
        <row r="86">
          <cell r="B86" t="str">
            <v>1B31E73A</v>
          </cell>
          <cell r="H86">
            <v>15900</v>
          </cell>
          <cell r="AG86">
            <v>62700</v>
          </cell>
        </row>
        <row r="87">
          <cell r="B87" t="str">
            <v>1B31E73A</v>
          </cell>
          <cell r="H87">
            <v>33125</v>
          </cell>
          <cell r="AG87">
            <v>0</v>
          </cell>
        </row>
        <row r="88">
          <cell r="B88" t="str">
            <v>1B31E73A</v>
          </cell>
          <cell r="H88">
            <v>6625</v>
          </cell>
          <cell r="AG88">
            <v>0</v>
          </cell>
        </row>
        <row r="89">
          <cell r="B89" t="str">
            <v>1B21F05A</v>
          </cell>
          <cell r="H89">
            <v>1049695.7142857143</v>
          </cell>
          <cell r="AG89">
            <v>546905</v>
          </cell>
        </row>
        <row r="90">
          <cell r="B90" t="str">
            <v>1B21F03A</v>
          </cell>
          <cell r="H90">
            <v>0</v>
          </cell>
          <cell r="AG90">
            <v>0</v>
          </cell>
        </row>
        <row r="91">
          <cell r="B91" t="str">
            <v>1B21F06A</v>
          </cell>
          <cell r="H91">
            <v>0</v>
          </cell>
          <cell r="AG91">
            <v>0</v>
          </cell>
        </row>
        <row r="92">
          <cell r="B92" t="str">
            <v>1B21F07A</v>
          </cell>
          <cell r="H92">
            <v>0</v>
          </cell>
          <cell r="AG92">
            <v>-45240</v>
          </cell>
        </row>
        <row r="93">
          <cell r="B93" t="str">
            <v>1B71E89A</v>
          </cell>
          <cell r="AG93">
            <v>800000</v>
          </cell>
        </row>
        <row r="94">
          <cell r="B94" t="str">
            <v>1C01C01B</v>
          </cell>
          <cell r="H94">
            <v>494400</v>
          </cell>
          <cell r="AG94">
            <v>127788</v>
          </cell>
        </row>
        <row r="95">
          <cell r="B95" t="str">
            <v>1C01C22E</v>
          </cell>
          <cell r="H95">
            <v>4124708.5714285709</v>
          </cell>
          <cell r="AG95">
            <v>3773940</v>
          </cell>
        </row>
        <row r="96">
          <cell r="B96" t="str">
            <v>1C01C01B</v>
          </cell>
          <cell r="H96">
            <v>3760300</v>
          </cell>
          <cell r="AG96">
            <v>0</v>
          </cell>
        </row>
        <row r="97">
          <cell r="B97" t="str">
            <v>1C01C24E</v>
          </cell>
          <cell r="H97">
            <v>36528628.571428567</v>
          </cell>
          <cell r="AG97">
            <v>1480838</v>
          </cell>
        </row>
        <row r="98">
          <cell r="B98" t="str">
            <v>1C01C01B</v>
          </cell>
          <cell r="H98">
            <v>3746900</v>
          </cell>
          <cell r="AG98">
            <v>11734402</v>
          </cell>
        </row>
        <row r="99">
          <cell r="B99" t="str">
            <v>1C01C26E</v>
          </cell>
          <cell r="H99">
            <v>39610085.714285716</v>
          </cell>
          <cell r="AG99">
            <v>12966889</v>
          </cell>
        </row>
        <row r="100">
          <cell r="B100" t="str">
            <v>1C01C01B</v>
          </cell>
          <cell r="H100">
            <v>9302300</v>
          </cell>
          <cell r="AG100">
            <v>8704276</v>
          </cell>
        </row>
        <row r="101">
          <cell r="B101" t="str">
            <v>1C01C26E</v>
          </cell>
          <cell r="H101">
            <v>106312000</v>
          </cell>
          <cell r="AG101">
            <v>91361004</v>
          </cell>
        </row>
        <row r="102">
          <cell r="B102" t="str">
            <v>1C01C01B</v>
          </cell>
          <cell r="H102">
            <v>1073100</v>
          </cell>
          <cell r="AG102">
            <v>0</v>
          </cell>
        </row>
        <row r="103">
          <cell r="B103" t="str">
            <v>1C01C26E</v>
          </cell>
          <cell r="H103">
            <v>14103600</v>
          </cell>
          <cell r="AG103">
            <v>0</v>
          </cell>
        </row>
        <row r="104">
          <cell r="B104" t="str">
            <v>1C01C43E</v>
          </cell>
          <cell r="H104">
            <v>0</v>
          </cell>
          <cell r="AG104">
            <v>4881324</v>
          </cell>
        </row>
        <row r="105">
          <cell r="B105" t="str">
            <v>1C01A02B</v>
          </cell>
          <cell r="H105">
            <v>12538582.857142858</v>
          </cell>
          <cell r="AG105">
            <v>7989983</v>
          </cell>
        </row>
        <row r="106">
          <cell r="B106" t="str">
            <v>1C01A02C</v>
          </cell>
          <cell r="H106">
            <v>2222222.222222222</v>
          </cell>
          <cell r="AG106">
            <v>313120</v>
          </cell>
        </row>
        <row r="107">
          <cell r="B107" t="str">
            <v>1C01A06C</v>
          </cell>
          <cell r="H107">
            <v>106000</v>
          </cell>
          <cell r="AG107">
            <v>1638390</v>
          </cell>
        </row>
        <row r="108">
          <cell r="B108" t="str">
            <v>1C01A05C</v>
          </cell>
          <cell r="H108">
            <v>30000</v>
          </cell>
          <cell r="AG108">
            <v>0</v>
          </cell>
        </row>
        <row r="109">
          <cell r="B109" t="str">
            <v>1C01A010</v>
          </cell>
          <cell r="H109">
            <v>142500</v>
          </cell>
          <cell r="AG109">
            <v>847213</v>
          </cell>
        </row>
        <row r="110">
          <cell r="B110" t="str">
            <v>1C01A42B</v>
          </cell>
          <cell r="H110">
            <v>80000</v>
          </cell>
          <cell r="AG110">
            <v>0</v>
          </cell>
        </row>
        <row r="111">
          <cell r="B111" t="str">
            <v>1C01A42B</v>
          </cell>
          <cell r="H111">
            <v>120000</v>
          </cell>
          <cell r="AG111">
            <v>316300</v>
          </cell>
        </row>
        <row r="112">
          <cell r="B112" t="str">
            <v>1C01A41B</v>
          </cell>
          <cell r="H112">
            <v>22600</v>
          </cell>
          <cell r="AG112">
            <v>80575</v>
          </cell>
        </row>
        <row r="113">
          <cell r="B113" t="str">
            <v>1C01A02C</v>
          </cell>
          <cell r="H113">
            <v>30224338.624338616</v>
          </cell>
          <cell r="AG113">
            <v>0</v>
          </cell>
        </row>
        <row r="114">
          <cell r="B114" t="str">
            <v>1C01A06C</v>
          </cell>
          <cell r="H114">
            <v>1441700.952380952</v>
          </cell>
          <cell r="AG114">
            <v>997860</v>
          </cell>
        </row>
        <row r="115">
          <cell r="B115" t="str">
            <v>1C01A05C</v>
          </cell>
          <cell r="H115">
            <v>408028.57142857136</v>
          </cell>
          <cell r="AG115">
            <v>0</v>
          </cell>
        </row>
        <row r="116">
          <cell r="B116" t="str">
            <v>1C01A010</v>
          </cell>
          <cell r="H116">
            <v>1938135.7142857139</v>
          </cell>
          <cell r="AG116">
            <v>886674</v>
          </cell>
        </row>
        <row r="117">
          <cell r="B117" t="str">
            <v>1C01A42B</v>
          </cell>
          <cell r="H117">
            <v>1088076.1904761903</v>
          </cell>
          <cell r="AG117">
            <v>281752</v>
          </cell>
        </row>
        <row r="118">
          <cell r="B118" t="str">
            <v>1C01A42B</v>
          </cell>
          <cell r="H118">
            <v>1632114.2857142854</v>
          </cell>
          <cell r="AG118">
            <v>79856</v>
          </cell>
        </row>
        <row r="119">
          <cell r="B119" t="str">
            <v>1C01A41B</v>
          </cell>
          <cell r="H119">
            <v>307381.52380952379</v>
          </cell>
          <cell r="AG119">
            <v>0</v>
          </cell>
        </row>
        <row r="120">
          <cell r="B120" t="str">
            <v>1C01A20E</v>
          </cell>
          <cell r="H120">
            <v>156949100</v>
          </cell>
          <cell r="AG120">
            <v>146438916</v>
          </cell>
        </row>
        <row r="121">
          <cell r="B121" t="str">
            <v>1C01A02B</v>
          </cell>
          <cell r="H121">
            <v>14680466.666666666</v>
          </cell>
          <cell r="AG121">
            <v>8815078</v>
          </cell>
        </row>
        <row r="122">
          <cell r="B122" t="str">
            <v>1C01A02C</v>
          </cell>
          <cell r="H122">
            <v>2222222.222222222</v>
          </cell>
          <cell r="AG122">
            <v>0</v>
          </cell>
        </row>
        <row r="123">
          <cell r="B123" t="str">
            <v>1C01A06C</v>
          </cell>
          <cell r="H123">
            <v>106000</v>
          </cell>
          <cell r="AG123">
            <v>604000</v>
          </cell>
        </row>
        <row r="124">
          <cell r="B124" t="str">
            <v>1C01A05C</v>
          </cell>
          <cell r="H124">
            <v>30000</v>
          </cell>
          <cell r="AG124">
            <v>0</v>
          </cell>
        </row>
        <row r="125">
          <cell r="B125" t="str">
            <v>1C01A010</v>
          </cell>
          <cell r="H125">
            <v>142500</v>
          </cell>
          <cell r="AG125">
            <v>0</v>
          </cell>
        </row>
        <row r="126">
          <cell r="B126" t="str">
            <v>1C01A42B</v>
          </cell>
          <cell r="H126">
            <v>80000</v>
          </cell>
          <cell r="AG126">
            <v>110714</v>
          </cell>
        </row>
        <row r="127">
          <cell r="B127" t="str">
            <v>1C01A42B</v>
          </cell>
          <cell r="H127">
            <v>120000</v>
          </cell>
          <cell r="AG127">
            <v>55060</v>
          </cell>
        </row>
        <row r="128">
          <cell r="B128" t="str">
            <v>1C01A41B</v>
          </cell>
          <cell r="H128">
            <v>22600</v>
          </cell>
          <cell r="AG128">
            <v>22360</v>
          </cell>
        </row>
        <row r="129">
          <cell r="B129" t="str">
            <v>1C01A02C</v>
          </cell>
          <cell r="H129">
            <v>24040211.640211646</v>
          </cell>
          <cell r="AG129">
            <v>0</v>
          </cell>
        </row>
        <row r="130">
          <cell r="B130" t="str">
            <v>1C01A06C</v>
          </cell>
          <cell r="H130">
            <v>1146718.0952380954</v>
          </cell>
          <cell r="AG130">
            <v>3145265</v>
          </cell>
        </row>
        <row r="131">
          <cell r="B131" t="str">
            <v>1C01A05C</v>
          </cell>
          <cell r="H131">
            <v>324542.85714285722</v>
          </cell>
          <cell r="AG131">
            <v>0</v>
          </cell>
        </row>
        <row r="132">
          <cell r="B132" t="str">
            <v>1C01A010</v>
          </cell>
          <cell r="H132">
            <v>1541578.5714285718</v>
          </cell>
          <cell r="AG132">
            <v>0</v>
          </cell>
        </row>
        <row r="133">
          <cell r="B133" t="str">
            <v>1C01A42B</v>
          </cell>
          <cell r="H133">
            <v>865447.61904761917</v>
          </cell>
          <cell r="AG133">
            <v>841119</v>
          </cell>
        </row>
        <row r="134">
          <cell r="B134" t="str">
            <v>1C01A42B</v>
          </cell>
          <cell r="H134">
            <v>1298171.4285714289</v>
          </cell>
          <cell r="AG134">
            <v>0</v>
          </cell>
        </row>
        <row r="135">
          <cell r="B135" t="str">
            <v>1C01A41B</v>
          </cell>
          <cell r="H135">
            <v>244488.95238095245</v>
          </cell>
          <cell r="AG135">
            <v>0</v>
          </cell>
        </row>
        <row r="136">
          <cell r="B136" t="str">
            <v>1C01A21E</v>
          </cell>
          <cell r="H136">
            <v>148424400</v>
          </cell>
          <cell r="AG136">
            <v>77613704</v>
          </cell>
        </row>
        <row r="137">
          <cell r="B137" t="str">
            <v>1C01B00B</v>
          </cell>
          <cell r="H137">
            <v>7128540</v>
          </cell>
          <cell r="AG137">
            <v>4037503</v>
          </cell>
        </row>
        <row r="138">
          <cell r="B138" t="str">
            <v>1C01B04C</v>
          </cell>
          <cell r="H138">
            <v>1250000</v>
          </cell>
          <cell r="AG138">
            <v>0</v>
          </cell>
        </row>
        <row r="139">
          <cell r="B139" t="str">
            <v>1C01B21E</v>
          </cell>
          <cell r="H139">
            <v>640000</v>
          </cell>
          <cell r="AG139">
            <v>0</v>
          </cell>
        </row>
        <row r="140">
          <cell r="B140" t="str">
            <v>1C01B40E</v>
          </cell>
          <cell r="H140">
            <v>150000</v>
          </cell>
          <cell r="AG140">
            <v>0</v>
          </cell>
        </row>
        <row r="141">
          <cell r="B141" t="str">
            <v>1C01B020</v>
          </cell>
          <cell r="H141">
            <v>168530.87486272134</v>
          </cell>
          <cell r="AG141">
            <v>34037</v>
          </cell>
        </row>
        <row r="142">
          <cell r="B142" t="str">
            <v>1C01B04C</v>
          </cell>
          <cell r="H142">
            <v>18170500</v>
          </cell>
          <cell r="AG142">
            <v>0</v>
          </cell>
        </row>
        <row r="143">
          <cell r="B143" t="str">
            <v>1C01B21E</v>
          </cell>
          <cell r="H143">
            <v>9303296</v>
          </cell>
          <cell r="AG143">
            <v>5290788</v>
          </cell>
        </row>
        <row r="144">
          <cell r="B144" t="str">
            <v>1C01B40E</v>
          </cell>
          <cell r="H144">
            <v>2180460</v>
          </cell>
          <cell r="AG144">
            <v>2709336</v>
          </cell>
        </row>
        <row r="145">
          <cell r="B145" t="str">
            <v>1C01B020</v>
          </cell>
          <cell r="H145">
            <v>2449832.2093544626</v>
          </cell>
          <cell r="AG145">
            <v>1449621</v>
          </cell>
        </row>
        <row r="146">
          <cell r="B146" t="str">
            <v>1C01B42E</v>
          </cell>
          <cell r="H146">
            <v>0</v>
          </cell>
          <cell r="AG146">
            <v>0</v>
          </cell>
        </row>
        <row r="147">
          <cell r="B147" t="str">
            <v>1C01B04C</v>
          </cell>
          <cell r="H147">
            <v>30334625.000000004</v>
          </cell>
          <cell r="AG147">
            <v>0</v>
          </cell>
        </row>
        <row r="148">
          <cell r="B148" t="str">
            <v>1C01B20E</v>
          </cell>
          <cell r="H148">
            <v>15531328</v>
          </cell>
          <cell r="AG148">
            <v>16141088</v>
          </cell>
        </row>
        <row r="149">
          <cell r="B149" t="str">
            <v>1C01B40E</v>
          </cell>
          <cell r="H149">
            <v>3640155</v>
          </cell>
          <cell r="AG149">
            <v>3100216</v>
          </cell>
        </row>
        <row r="150">
          <cell r="B150" t="str">
            <v>1C01B020</v>
          </cell>
          <cell r="H150">
            <v>4089856.7119060629</v>
          </cell>
          <cell r="AG150">
            <v>115327</v>
          </cell>
        </row>
        <row r="151">
          <cell r="B151" t="str">
            <v>1C01B42E</v>
          </cell>
          <cell r="H151">
            <v>0</v>
          </cell>
          <cell r="AG151">
            <v>0</v>
          </cell>
        </row>
        <row r="152">
          <cell r="B152" t="str">
            <v>1C01B00B</v>
          </cell>
          <cell r="H152">
            <v>24678990</v>
          </cell>
          <cell r="AG152">
            <v>7051328</v>
          </cell>
        </row>
        <row r="153">
          <cell r="B153" t="str">
            <v>1C01B04C</v>
          </cell>
          <cell r="H153">
            <v>4375000</v>
          </cell>
          <cell r="AG153">
            <v>0</v>
          </cell>
        </row>
        <row r="154">
          <cell r="B154" t="str">
            <v>1C01B20E</v>
          </cell>
          <cell r="H154">
            <v>2240000</v>
          </cell>
          <cell r="AG154">
            <v>3023089</v>
          </cell>
        </row>
        <row r="155">
          <cell r="B155" t="str">
            <v>1C01B40E</v>
          </cell>
          <cell r="H155">
            <v>525000</v>
          </cell>
          <cell r="AG155">
            <v>1554394</v>
          </cell>
        </row>
        <row r="156">
          <cell r="B156" t="str">
            <v>1C01B020</v>
          </cell>
          <cell r="H156">
            <v>589858.06201952475</v>
          </cell>
          <cell r="AG156">
            <v>366171</v>
          </cell>
        </row>
        <row r="157">
          <cell r="B157" t="str">
            <v>1C01B42E</v>
          </cell>
          <cell r="H157">
            <v>0</v>
          </cell>
          <cell r="AG157">
            <v>0</v>
          </cell>
        </row>
        <row r="158">
          <cell r="B158" t="str">
            <v>1C01B00C</v>
          </cell>
          <cell r="H158">
            <v>33848916.666666664</v>
          </cell>
          <cell r="AG158">
            <v>0</v>
          </cell>
        </row>
        <row r="159">
          <cell r="B159" t="str">
            <v>1C01B22E</v>
          </cell>
          <cell r="H159">
            <v>18580075.933333334</v>
          </cell>
          <cell r="AG159">
            <v>16494572</v>
          </cell>
        </row>
        <row r="160">
          <cell r="B160" t="str">
            <v>1C01B41E</v>
          </cell>
          <cell r="H160">
            <v>4468057</v>
          </cell>
          <cell r="AG160">
            <v>2612978</v>
          </cell>
        </row>
        <row r="161">
          <cell r="B161" t="str">
            <v>1C01B07C</v>
          </cell>
          <cell r="H161">
            <v>1624748</v>
          </cell>
          <cell r="AG161">
            <v>315700</v>
          </cell>
        </row>
        <row r="162">
          <cell r="B162" t="str">
            <v>1C01B06C</v>
          </cell>
          <cell r="H162">
            <v>37134593.000000007</v>
          </cell>
          <cell r="AG162">
            <v>7204611</v>
          </cell>
        </row>
        <row r="163">
          <cell r="B163" t="str">
            <v>1C010000</v>
          </cell>
          <cell r="AG163">
            <v>149421076</v>
          </cell>
        </row>
        <row r="164">
          <cell r="B164" t="str">
            <v>1C01R51A</v>
          </cell>
          <cell r="H164">
            <v>5850</v>
          </cell>
          <cell r="AG164">
            <v>0</v>
          </cell>
        </row>
        <row r="165">
          <cell r="B165" t="str">
            <v>1C01B23A</v>
          </cell>
          <cell r="H165">
            <v>24723</v>
          </cell>
          <cell r="AG165">
            <v>336050</v>
          </cell>
        </row>
        <row r="166">
          <cell r="B166" t="str">
            <v>1C01C35A</v>
          </cell>
          <cell r="H166">
            <v>784125</v>
          </cell>
          <cell r="AG166">
            <v>0</v>
          </cell>
        </row>
        <row r="167">
          <cell r="B167" t="str">
            <v>1J00R50A</v>
          </cell>
          <cell r="H167">
            <v>290400</v>
          </cell>
          <cell r="AG167">
            <v>0</v>
          </cell>
        </row>
        <row r="168">
          <cell r="B168" t="str">
            <v>1J00R51A</v>
          </cell>
          <cell r="H168">
            <v>8776.7999999999993</v>
          </cell>
          <cell r="AG168">
            <v>0</v>
          </cell>
        </row>
        <row r="169">
          <cell r="B169" t="str">
            <v>1C01B23A</v>
          </cell>
          <cell r="H169">
            <v>36654</v>
          </cell>
          <cell r="AG169">
            <v>0</v>
          </cell>
        </row>
        <row r="170">
          <cell r="B170" t="str">
            <v>1C01C35A</v>
          </cell>
          <cell r="H170">
            <v>1179482.142857143</v>
          </cell>
          <cell r="AG170">
            <v>0</v>
          </cell>
        </row>
        <row r="171">
          <cell r="B171" t="str">
            <v>1J00R50A</v>
          </cell>
          <cell r="H171">
            <v>421080</v>
          </cell>
          <cell r="AG171">
            <v>881600</v>
          </cell>
        </row>
        <row r="172">
          <cell r="B172" t="str">
            <v>1J00R51A</v>
          </cell>
          <cell r="H172">
            <v>2340</v>
          </cell>
          <cell r="AG172">
            <v>0</v>
          </cell>
        </row>
        <row r="173">
          <cell r="B173" t="str">
            <v>1C01B23A</v>
          </cell>
          <cell r="H173">
            <v>9840</v>
          </cell>
          <cell r="AG173">
            <v>0</v>
          </cell>
        </row>
        <row r="174">
          <cell r="B174" t="str">
            <v>1C01C35A</v>
          </cell>
          <cell r="H174">
            <v>316285.71428571432</v>
          </cell>
          <cell r="AG174">
            <v>0</v>
          </cell>
        </row>
        <row r="175">
          <cell r="B175" t="str">
            <v>1J00R50A</v>
          </cell>
          <cell r="H175">
            <v>222816</v>
          </cell>
          <cell r="AG175">
            <v>0</v>
          </cell>
        </row>
        <row r="176">
          <cell r="B176" t="str">
            <v>1J00R51A</v>
          </cell>
          <cell r="H176">
            <v>286.5</v>
          </cell>
          <cell r="AG176">
            <v>0</v>
          </cell>
        </row>
        <row r="177">
          <cell r="B177" t="str">
            <v>1C01B23A</v>
          </cell>
          <cell r="H177">
            <v>1198.02</v>
          </cell>
          <cell r="AG177">
            <v>0</v>
          </cell>
        </row>
        <row r="178">
          <cell r="B178" t="str">
            <v>1C01C35A</v>
          </cell>
          <cell r="H178">
            <v>38481.428571428572</v>
          </cell>
          <cell r="AG178">
            <v>0</v>
          </cell>
        </row>
        <row r="179">
          <cell r="B179" t="str">
            <v>1J00R50A</v>
          </cell>
          <cell r="H179">
            <v>12982.2</v>
          </cell>
          <cell r="AG179">
            <v>0</v>
          </cell>
        </row>
        <row r="180">
          <cell r="B180" t="str">
            <v>1J00R51A</v>
          </cell>
          <cell r="H180">
            <v>115687.14285714284</v>
          </cell>
          <cell r="AG180">
            <v>0</v>
          </cell>
        </row>
        <row r="181">
          <cell r="B181" t="str">
            <v>1J00R50A</v>
          </cell>
          <cell r="H181">
            <v>725580</v>
          </cell>
          <cell r="AG181">
            <v>539400</v>
          </cell>
        </row>
        <row r="182">
          <cell r="B182" t="str">
            <v>1J00R51A</v>
          </cell>
          <cell r="H182">
            <v>592200</v>
          </cell>
          <cell r="AG182">
            <v>0</v>
          </cell>
        </row>
        <row r="183">
          <cell r="B183" t="str">
            <v>1J00R51A</v>
          </cell>
          <cell r="H183">
            <v>801780</v>
          </cell>
          <cell r="AG183">
            <v>0</v>
          </cell>
        </row>
        <row r="184">
          <cell r="B184" t="str">
            <v>1J00R51A</v>
          </cell>
          <cell r="H184">
            <v>37240</v>
          </cell>
          <cell r="AG184">
            <v>0</v>
          </cell>
        </row>
        <row r="185">
          <cell r="B185" t="str">
            <v>1J00R51A</v>
          </cell>
          <cell r="H185">
            <v>20580</v>
          </cell>
          <cell r="AG185">
            <v>0</v>
          </cell>
        </row>
        <row r="186">
          <cell r="B186" t="str">
            <v>1J00R51A</v>
          </cell>
          <cell r="H186">
            <v>71400</v>
          </cell>
          <cell r="AG186">
            <v>0</v>
          </cell>
        </row>
        <row r="187">
          <cell r="B187" t="str">
            <v>1J00R51A</v>
          </cell>
          <cell r="H187">
            <v>140400</v>
          </cell>
          <cell r="AG187">
            <v>0</v>
          </cell>
        </row>
        <row r="188">
          <cell r="B188" t="str">
            <v>1J00R51A</v>
          </cell>
          <cell r="H188">
            <v>538560</v>
          </cell>
          <cell r="AG188">
            <v>0</v>
          </cell>
        </row>
        <row r="189">
          <cell r="B189" t="str">
            <v>1C01C20A</v>
          </cell>
          <cell r="H189">
            <v>1476377.1428571427</v>
          </cell>
          <cell r="AG189">
            <v>1210724</v>
          </cell>
        </row>
        <row r="190">
          <cell r="B190" t="str">
            <v>1B21F06A</v>
          </cell>
          <cell r="H190">
            <v>499800</v>
          </cell>
          <cell r="AG190">
            <v>0</v>
          </cell>
        </row>
        <row r="191">
          <cell r="B191" t="str">
            <v>1E51H23B</v>
          </cell>
          <cell r="H191">
            <v>0</v>
          </cell>
          <cell r="AG191">
            <v>0</v>
          </cell>
        </row>
        <row r="192">
          <cell r="B192" t="str">
            <v>1E51H71E</v>
          </cell>
          <cell r="H192">
            <v>0</v>
          </cell>
          <cell r="AG192">
            <v>0</v>
          </cell>
        </row>
        <row r="193">
          <cell r="B193" t="str">
            <v>1E51H76E</v>
          </cell>
          <cell r="H193">
            <v>0</v>
          </cell>
          <cell r="AG193">
            <v>0</v>
          </cell>
        </row>
        <row r="194">
          <cell r="B194" t="str">
            <v>1E51H78E</v>
          </cell>
          <cell r="H194">
            <v>0</v>
          </cell>
          <cell r="AG194">
            <v>0</v>
          </cell>
        </row>
        <row r="195">
          <cell r="B195" t="str">
            <v>1E51H24B</v>
          </cell>
          <cell r="H195">
            <v>157000</v>
          </cell>
          <cell r="AG195">
            <v>0</v>
          </cell>
        </row>
        <row r="196">
          <cell r="B196" t="str">
            <v>1E51H71E</v>
          </cell>
          <cell r="H196">
            <v>49596.3</v>
          </cell>
          <cell r="AG196">
            <v>0</v>
          </cell>
        </row>
        <row r="197">
          <cell r="B197" t="str">
            <v>1E51H76E</v>
          </cell>
          <cell r="H197">
            <v>21854.400000000001</v>
          </cell>
          <cell r="AG197">
            <v>0</v>
          </cell>
        </row>
        <row r="198">
          <cell r="B198" t="str">
            <v>1E51H22B</v>
          </cell>
          <cell r="H198">
            <v>740500</v>
          </cell>
          <cell r="AG198">
            <v>0</v>
          </cell>
        </row>
        <row r="199">
          <cell r="B199" t="str">
            <v>1E51H34B</v>
          </cell>
          <cell r="H199">
            <v>1184800</v>
          </cell>
          <cell r="AG199">
            <v>0</v>
          </cell>
        </row>
        <row r="200">
          <cell r="B200" t="str">
            <v>1E51H96E</v>
          </cell>
          <cell r="H200">
            <v>1318734.2349999999</v>
          </cell>
          <cell r="AG200">
            <v>0</v>
          </cell>
        </row>
        <row r="201">
          <cell r="B201" t="str">
            <v>1E51H71E</v>
          </cell>
          <cell r="H201">
            <v>337890.15</v>
          </cell>
          <cell r="AG201">
            <v>0</v>
          </cell>
        </row>
        <row r="202">
          <cell r="B202" t="str">
            <v>1E51H76E</v>
          </cell>
          <cell r="H202">
            <v>85305.600000000006</v>
          </cell>
          <cell r="AG202">
            <v>0</v>
          </cell>
        </row>
        <row r="203">
          <cell r="B203" t="str">
            <v>1E51H77E</v>
          </cell>
          <cell r="H203">
            <v>71088</v>
          </cell>
          <cell r="AG203">
            <v>0</v>
          </cell>
        </row>
        <row r="204">
          <cell r="B204" t="str">
            <v>1E51H80E</v>
          </cell>
          <cell r="H204">
            <v>14810</v>
          </cell>
          <cell r="AG204">
            <v>0</v>
          </cell>
        </row>
        <row r="205">
          <cell r="B205" t="str">
            <v>1E51H78E</v>
          </cell>
          <cell r="H205">
            <v>44430</v>
          </cell>
          <cell r="AG205">
            <v>0</v>
          </cell>
        </row>
        <row r="206">
          <cell r="B206" t="str">
            <v>1E51H22B</v>
          </cell>
          <cell r="H206">
            <v>78100</v>
          </cell>
          <cell r="AG206">
            <v>0</v>
          </cell>
        </row>
        <row r="207">
          <cell r="B207" t="str">
            <v>1E51H34B</v>
          </cell>
          <cell r="H207">
            <v>124960</v>
          </cell>
          <cell r="AG207">
            <v>0</v>
          </cell>
        </row>
        <row r="208">
          <cell r="B208" t="str">
            <v>1E51H96E</v>
          </cell>
          <cell r="H208">
            <v>139085.94699999999</v>
          </cell>
          <cell r="AG208">
            <v>0</v>
          </cell>
        </row>
        <row r="209">
          <cell r="B209" t="str">
            <v>1E51H71E</v>
          </cell>
          <cell r="H209">
            <v>35637.03</v>
          </cell>
          <cell r="AG209">
            <v>0</v>
          </cell>
        </row>
        <row r="210">
          <cell r="B210" t="str">
            <v>1E51H76E</v>
          </cell>
          <cell r="H210">
            <v>8997.1200000000008</v>
          </cell>
          <cell r="AG210">
            <v>0</v>
          </cell>
        </row>
        <row r="211">
          <cell r="B211" t="str">
            <v>1E51H77E</v>
          </cell>
          <cell r="H211">
            <v>7497.6</v>
          </cell>
          <cell r="AG211">
            <v>0</v>
          </cell>
        </row>
        <row r="212">
          <cell r="B212" t="str">
            <v>1E51H80E</v>
          </cell>
          <cell r="H212">
            <v>1562</v>
          </cell>
          <cell r="AG212">
            <v>0</v>
          </cell>
        </row>
        <row r="213">
          <cell r="B213" t="str">
            <v>1E51H78E</v>
          </cell>
          <cell r="H213">
            <v>4686</v>
          </cell>
          <cell r="AG213">
            <v>0</v>
          </cell>
        </row>
        <row r="214">
          <cell r="B214" t="str">
            <v>1E51H38B</v>
          </cell>
          <cell r="H214">
            <v>3619000</v>
          </cell>
          <cell r="AG214">
            <v>0</v>
          </cell>
        </row>
        <row r="215">
          <cell r="B215" t="str">
            <v>1E51H96E</v>
          </cell>
          <cell r="H215">
            <v>4187700</v>
          </cell>
          <cell r="AG215">
            <v>0</v>
          </cell>
        </row>
        <row r="216">
          <cell r="B216" t="str">
            <v>1E51H71E</v>
          </cell>
          <cell r="H216">
            <v>1376124.75</v>
          </cell>
          <cell r="AG216">
            <v>0</v>
          </cell>
        </row>
        <row r="217">
          <cell r="B217" t="str">
            <v>1E51H76E</v>
          </cell>
          <cell r="H217">
            <v>347424</v>
          </cell>
          <cell r="AG217">
            <v>0</v>
          </cell>
        </row>
        <row r="218">
          <cell r="B218" t="str">
            <v>1E51H80E</v>
          </cell>
          <cell r="H218">
            <v>51700</v>
          </cell>
          <cell r="AG218">
            <v>0</v>
          </cell>
        </row>
        <row r="219">
          <cell r="B219" t="str">
            <v>1E51H78E</v>
          </cell>
          <cell r="H219">
            <v>155100</v>
          </cell>
          <cell r="AG219">
            <v>0</v>
          </cell>
        </row>
        <row r="220">
          <cell r="B220" t="str">
            <v>1E51H38B</v>
          </cell>
          <cell r="H220">
            <v>14436520</v>
          </cell>
          <cell r="AG220">
            <v>0</v>
          </cell>
        </row>
        <row r="221">
          <cell r="B221" t="str">
            <v>1E51H96E</v>
          </cell>
          <cell r="H221">
            <v>11745140.200000001</v>
          </cell>
          <cell r="AG221">
            <v>0</v>
          </cell>
        </row>
        <row r="222">
          <cell r="B222" t="str">
            <v>1E51H71E</v>
          </cell>
          <cell r="H222">
            <v>3800413.89</v>
          </cell>
          <cell r="AG222">
            <v>0</v>
          </cell>
        </row>
        <row r="223">
          <cell r="B223" t="str">
            <v>1E51H76E</v>
          </cell>
          <cell r="H223">
            <v>1138422.72</v>
          </cell>
          <cell r="AG223">
            <v>0</v>
          </cell>
        </row>
        <row r="224">
          <cell r="B224" t="str">
            <v>1E51H80E</v>
          </cell>
          <cell r="H224">
            <v>206236</v>
          </cell>
          <cell r="AG224">
            <v>0</v>
          </cell>
        </row>
        <row r="225">
          <cell r="B225" t="str">
            <v>1D31H38B</v>
          </cell>
          <cell r="H225">
            <v>1605800</v>
          </cell>
          <cell r="AG225">
            <v>0</v>
          </cell>
        </row>
        <row r="226">
          <cell r="B226" t="str">
            <v>1D31H38B</v>
          </cell>
          <cell r="H226">
            <v>229400</v>
          </cell>
          <cell r="AG226">
            <v>0</v>
          </cell>
        </row>
        <row r="227">
          <cell r="B227" t="str">
            <v>1D31H38B</v>
          </cell>
          <cell r="H227">
            <v>1730927.2727272727</v>
          </cell>
          <cell r="AG227">
            <v>0</v>
          </cell>
        </row>
        <row r="228">
          <cell r="B228" t="str">
            <v>1D31H38B</v>
          </cell>
          <cell r="H228">
            <v>536796</v>
          </cell>
          <cell r="AG228">
            <v>0</v>
          </cell>
        </row>
        <row r="229">
          <cell r="B229" t="str">
            <v>1D31H38B</v>
          </cell>
          <cell r="H229">
            <v>344100</v>
          </cell>
          <cell r="AG229">
            <v>0</v>
          </cell>
        </row>
        <row r="230">
          <cell r="B230" t="str">
            <v>1D31H96E</v>
          </cell>
          <cell r="H230">
            <v>2339880</v>
          </cell>
          <cell r="AG230">
            <v>0</v>
          </cell>
        </row>
        <row r="231">
          <cell r="B231" t="str">
            <v>1D31H71E</v>
          </cell>
          <cell r="H231">
            <v>422726.85</v>
          </cell>
          <cell r="AG231">
            <v>0</v>
          </cell>
        </row>
        <row r="232">
          <cell r="B232" t="str">
            <v>1D31H76E</v>
          </cell>
          <cell r="H232">
            <v>126628.8</v>
          </cell>
          <cell r="AG232">
            <v>0</v>
          </cell>
        </row>
        <row r="233">
          <cell r="B233" t="str">
            <v>1D31H80E</v>
          </cell>
          <cell r="H233">
            <v>22940</v>
          </cell>
          <cell r="AG233">
            <v>0</v>
          </cell>
        </row>
        <row r="234">
          <cell r="B234" t="str">
            <v>1E59L01A</v>
          </cell>
          <cell r="H234">
            <v>15125490</v>
          </cell>
          <cell r="AG234">
            <v>1068130</v>
          </cell>
        </row>
        <row r="235">
          <cell r="B235" t="str">
            <v>1E59L62A</v>
          </cell>
          <cell r="H235">
            <v>442200</v>
          </cell>
          <cell r="AG235">
            <v>0</v>
          </cell>
        </row>
        <row r="236">
          <cell r="B236" t="str">
            <v>1E59C24A</v>
          </cell>
          <cell r="H236">
            <v>195041.78571428571</v>
          </cell>
          <cell r="AG236">
            <v>0</v>
          </cell>
        </row>
        <row r="237">
          <cell r="B237" t="str">
            <v>1E59A23A</v>
          </cell>
          <cell r="H237">
            <v>50501.25</v>
          </cell>
          <cell r="AG237">
            <v>0</v>
          </cell>
        </row>
        <row r="238">
          <cell r="B238" t="str">
            <v>1E59R59A</v>
          </cell>
          <cell r="H238">
            <v>26800</v>
          </cell>
          <cell r="AG238">
            <v>0</v>
          </cell>
        </row>
        <row r="239">
          <cell r="B239" t="str">
            <v>1D37Q14A</v>
          </cell>
          <cell r="H239">
            <v>375403.18181818182</v>
          </cell>
          <cell r="AG239">
            <v>0</v>
          </cell>
        </row>
        <row r="240">
          <cell r="B240" t="str">
            <v>1E51H38B</v>
          </cell>
          <cell r="H240">
            <v>1702820</v>
          </cell>
          <cell r="AG240">
            <v>0</v>
          </cell>
        </row>
        <row r="241">
          <cell r="B241" t="str">
            <v>1E51H96E</v>
          </cell>
          <cell r="H241">
            <v>7832972</v>
          </cell>
          <cell r="AG241">
            <v>0</v>
          </cell>
        </row>
        <row r="242">
          <cell r="B242" t="str">
            <v>1E51H71E</v>
          </cell>
          <cell r="H242">
            <v>448267.36499999999</v>
          </cell>
          <cell r="AG242">
            <v>0</v>
          </cell>
        </row>
        <row r="243">
          <cell r="B243" t="str">
            <v>1E51H76E</v>
          </cell>
          <cell r="H243">
            <v>134279.51999999999</v>
          </cell>
          <cell r="AG243">
            <v>0</v>
          </cell>
        </row>
        <row r="244">
          <cell r="B244" t="str">
            <v>1E51H80E</v>
          </cell>
          <cell r="H244">
            <v>24326</v>
          </cell>
          <cell r="AG244">
            <v>0</v>
          </cell>
        </row>
        <row r="245">
          <cell r="B245" t="str">
            <v>1E51H41A</v>
          </cell>
          <cell r="H245">
            <v>6257593.1040000012</v>
          </cell>
          <cell r="AG245">
            <v>0</v>
          </cell>
        </row>
        <row r="246">
          <cell r="B246" t="str">
            <v>1E51H71E</v>
          </cell>
          <cell r="H246">
            <v>0</v>
          </cell>
          <cell r="AG246">
            <v>0</v>
          </cell>
        </row>
        <row r="247">
          <cell r="B247" t="str">
            <v>1E51H76E</v>
          </cell>
          <cell r="H247">
            <v>0</v>
          </cell>
          <cell r="AG247">
            <v>0</v>
          </cell>
        </row>
        <row r="248">
          <cell r="B248" t="str">
            <v>1E51H22B</v>
          </cell>
          <cell r="H248">
            <v>0</v>
          </cell>
          <cell r="AG248">
            <v>0</v>
          </cell>
        </row>
        <row r="249">
          <cell r="B249" t="str">
            <v>1E51H32B</v>
          </cell>
          <cell r="H249">
            <v>6975650</v>
          </cell>
          <cell r="AG249">
            <v>0</v>
          </cell>
        </row>
        <row r="250">
          <cell r="B250" t="str">
            <v>1E51H71E</v>
          </cell>
          <cell r="H250">
            <v>400655.97</v>
          </cell>
          <cell r="AG250">
            <v>0</v>
          </cell>
        </row>
        <row r="251">
          <cell r="B251" t="str">
            <v>1E51H76E</v>
          </cell>
          <cell r="H251">
            <v>176547.36</v>
          </cell>
          <cell r="AG251">
            <v>0</v>
          </cell>
        </row>
        <row r="252">
          <cell r="B252" t="str">
            <v>1E51H86E</v>
          </cell>
          <cell r="H252">
            <v>388099.8</v>
          </cell>
          <cell r="AG252">
            <v>0</v>
          </cell>
        </row>
        <row r="253">
          <cell r="B253" t="str">
            <v>1E51H87E</v>
          </cell>
          <cell r="H253">
            <v>3234.165</v>
          </cell>
          <cell r="AG253">
            <v>0</v>
          </cell>
        </row>
        <row r="254">
          <cell r="B254" t="str">
            <v>1E51H90E</v>
          </cell>
          <cell r="H254">
            <v>101464</v>
          </cell>
          <cell r="AG254">
            <v>0</v>
          </cell>
        </row>
        <row r="255">
          <cell r="B255" t="str">
            <v>1E51H89E</v>
          </cell>
          <cell r="H255">
            <v>976591</v>
          </cell>
          <cell r="AG255">
            <v>0</v>
          </cell>
        </row>
        <row r="256">
          <cell r="B256" t="str">
            <v>1D37Q01A</v>
          </cell>
          <cell r="H256">
            <v>3260935</v>
          </cell>
          <cell r="AG256">
            <v>0</v>
          </cell>
        </row>
        <row r="257">
          <cell r="B257" t="str">
            <v>1E57Q02A</v>
          </cell>
          <cell r="H257">
            <v>6249320</v>
          </cell>
          <cell r="AG257">
            <v>0</v>
          </cell>
        </row>
        <row r="258">
          <cell r="B258" t="str">
            <v>1E51H23B</v>
          </cell>
          <cell r="H258">
            <v>107680</v>
          </cell>
          <cell r="AG258">
            <v>0</v>
          </cell>
        </row>
        <row r="259">
          <cell r="B259" t="str">
            <v>1E51H71E</v>
          </cell>
          <cell r="H259">
            <v>20472.66</v>
          </cell>
          <cell r="AG259">
            <v>0</v>
          </cell>
        </row>
        <row r="260">
          <cell r="B260" t="str">
            <v>1E51H76E</v>
          </cell>
          <cell r="H260">
            <v>5168.6400000000003</v>
          </cell>
          <cell r="AG260">
            <v>0</v>
          </cell>
        </row>
        <row r="261">
          <cell r="B261" t="str">
            <v>1E51H77E</v>
          </cell>
          <cell r="H261">
            <v>2153.6</v>
          </cell>
          <cell r="AG261">
            <v>0</v>
          </cell>
        </row>
        <row r="262">
          <cell r="B262" t="str">
            <v>1E51H78E</v>
          </cell>
          <cell r="H262">
            <v>4038</v>
          </cell>
          <cell r="AG262">
            <v>0</v>
          </cell>
        </row>
        <row r="263">
          <cell r="B263" t="str">
            <v>1E51H24B</v>
          </cell>
          <cell r="H263">
            <v>737600</v>
          </cell>
          <cell r="AG263">
            <v>0</v>
          </cell>
        </row>
        <row r="264">
          <cell r="B264" t="str">
            <v>1E51H71E</v>
          </cell>
          <cell r="H264">
            <v>97086.6</v>
          </cell>
          <cell r="AG264">
            <v>0</v>
          </cell>
        </row>
        <row r="265">
          <cell r="B265" t="str">
            <v>1E51H76E</v>
          </cell>
          <cell r="H265">
            <v>42043.199999999997</v>
          </cell>
          <cell r="AG265">
            <v>0</v>
          </cell>
        </row>
        <row r="266">
          <cell r="B266" t="str">
            <v>1E51H77E</v>
          </cell>
          <cell r="H266">
            <v>14752</v>
          </cell>
          <cell r="AG266">
            <v>0</v>
          </cell>
        </row>
        <row r="267">
          <cell r="B267" t="str">
            <v>1E51H24B</v>
          </cell>
          <cell r="H267">
            <v>0</v>
          </cell>
          <cell r="AG267">
            <v>0</v>
          </cell>
        </row>
        <row r="268">
          <cell r="B268" t="str">
            <v>1E51H71E</v>
          </cell>
          <cell r="H268">
            <v>0</v>
          </cell>
          <cell r="AG268">
            <v>0</v>
          </cell>
        </row>
        <row r="269">
          <cell r="B269" t="str">
            <v>1E51H76E</v>
          </cell>
          <cell r="H269">
            <v>0</v>
          </cell>
          <cell r="AG269">
            <v>0</v>
          </cell>
        </row>
        <row r="270">
          <cell r="B270" t="str">
            <v>1E51H77E</v>
          </cell>
          <cell r="H270">
            <v>0</v>
          </cell>
          <cell r="AG270">
            <v>0</v>
          </cell>
        </row>
        <row r="271">
          <cell r="B271" t="str">
            <v>1E51H21B</v>
          </cell>
          <cell r="H271">
            <v>8619815</v>
          </cell>
          <cell r="AG271">
            <v>0</v>
          </cell>
        </row>
        <row r="272">
          <cell r="B272" t="str">
            <v>1E51H34B</v>
          </cell>
          <cell r="H272">
            <v>10997695</v>
          </cell>
          <cell r="AG272">
            <v>0</v>
          </cell>
        </row>
        <row r="273">
          <cell r="B273" t="str">
            <v>1E51H95E</v>
          </cell>
          <cell r="H273">
            <v>7490322</v>
          </cell>
          <cell r="AG273">
            <v>0</v>
          </cell>
        </row>
        <row r="274">
          <cell r="B274" t="str">
            <v>1E51H71E</v>
          </cell>
          <cell r="H274">
            <v>2712566.61</v>
          </cell>
          <cell r="AG274">
            <v>0</v>
          </cell>
        </row>
        <row r="275">
          <cell r="B275" t="str">
            <v>1E51H76E</v>
          </cell>
          <cell r="H275">
            <v>684829.44</v>
          </cell>
          <cell r="AG275">
            <v>0</v>
          </cell>
        </row>
        <row r="276">
          <cell r="B276" t="str">
            <v>1E51H77E</v>
          </cell>
          <cell r="H276">
            <v>570691.19999999995</v>
          </cell>
          <cell r="AG276">
            <v>0</v>
          </cell>
        </row>
        <row r="277">
          <cell r="B277" t="str">
            <v>1E51H80E</v>
          </cell>
          <cell r="H277">
            <v>118894</v>
          </cell>
          <cell r="AG277">
            <v>0</v>
          </cell>
        </row>
        <row r="278">
          <cell r="B278" t="str">
            <v>1E51H78E</v>
          </cell>
          <cell r="H278">
            <v>356682</v>
          </cell>
          <cell r="AG278">
            <v>0</v>
          </cell>
        </row>
        <row r="279">
          <cell r="B279" t="str">
            <v>1E51H21B</v>
          </cell>
          <cell r="H279">
            <v>1363770</v>
          </cell>
          <cell r="AG279">
            <v>0</v>
          </cell>
        </row>
        <row r="280">
          <cell r="B280" t="str">
            <v>1E51H34B</v>
          </cell>
          <cell r="H280">
            <v>2803305</v>
          </cell>
          <cell r="AG280">
            <v>0</v>
          </cell>
        </row>
        <row r="281">
          <cell r="B281" t="str">
            <v>1E51H95E</v>
          </cell>
          <cell r="H281">
            <v>1909278</v>
          </cell>
          <cell r="AG281">
            <v>0</v>
          </cell>
        </row>
        <row r="282">
          <cell r="B282" t="str">
            <v>1E51H71E</v>
          </cell>
          <cell r="H282">
            <v>80666.995500000005</v>
          </cell>
          <cell r="AG282">
            <v>0</v>
          </cell>
        </row>
        <row r="283">
          <cell r="B283" t="str">
            <v>1E51H76E</v>
          </cell>
          <cell r="H283">
            <v>20365.632000000005</v>
          </cell>
          <cell r="AG283">
            <v>0</v>
          </cell>
        </row>
        <row r="284">
          <cell r="B284" t="str">
            <v>1E51H77E</v>
          </cell>
          <cell r="H284">
            <v>145468.79999999999</v>
          </cell>
          <cell r="AG284">
            <v>0</v>
          </cell>
        </row>
        <row r="285">
          <cell r="B285" t="str">
            <v>1E51H80E</v>
          </cell>
          <cell r="H285">
            <v>30306</v>
          </cell>
          <cell r="AG285">
            <v>0</v>
          </cell>
        </row>
        <row r="286">
          <cell r="B286" t="str">
            <v>1E51H78E</v>
          </cell>
          <cell r="H286">
            <v>90918</v>
          </cell>
          <cell r="AG286">
            <v>0</v>
          </cell>
        </row>
        <row r="287">
          <cell r="B287" t="str">
            <v>1E51H21B</v>
          </cell>
          <cell r="H287">
            <v>259985</v>
          </cell>
          <cell r="AG287">
            <v>0</v>
          </cell>
        </row>
        <row r="288">
          <cell r="B288" t="str">
            <v>1E51H34B</v>
          </cell>
          <cell r="H288">
            <v>331705</v>
          </cell>
          <cell r="AG288">
            <v>0</v>
          </cell>
        </row>
        <row r="289">
          <cell r="B289" t="str">
            <v>1E51H95E</v>
          </cell>
          <cell r="H289">
            <v>337263.3</v>
          </cell>
          <cell r="AG289">
            <v>0</v>
          </cell>
        </row>
        <row r="290">
          <cell r="B290" t="str">
            <v>1E51H71E</v>
          </cell>
          <cell r="H290">
            <v>81814.59</v>
          </cell>
          <cell r="AG290">
            <v>0</v>
          </cell>
        </row>
        <row r="291">
          <cell r="B291" t="str">
            <v>1E51H76E</v>
          </cell>
          <cell r="H291">
            <v>20655.36</v>
          </cell>
          <cell r="AG291">
            <v>0</v>
          </cell>
        </row>
        <row r="292">
          <cell r="B292" t="str">
            <v>1E51H77E</v>
          </cell>
          <cell r="H292">
            <v>17212.8</v>
          </cell>
          <cell r="AG292">
            <v>0</v>
          </cell>
        </row>
        <row r="293">
          <cell r="B293" t="str">
            <v>1E51H78E</v>
          </cell>
          <cell r="H293">
            <v>10758</v>
          </cell>
          <cell r="AG293">
            <v>0</v>
          </cell>
        </row>
        <row r="294">
          <cell r="B294" t="str">
            <v>1E51H80E</v>
          </cell>
          <cell r="H294">
            <v>3586</v>
          </cell>
          <cell r="AG294">
            <v>0</v>
          </cell>
        </row>
        <row r="295">
          <cell r="B295" t="str">
            <v>1E51H21B</v>
          </cell>
          <cell r="H295">
            <v>0</v>
          </cell>
          <cell r="AG295">
            <v>0</v>
          </cell>
        </row>
        <row r="296">
          <cell r="B296" t="str">
            <v>1E51H34B</v>
          </cell>
          <cell r="H296">
            <v>0</v>
          </cell>
          <cell r="AG296">
            <v>0</v>
          </cell>
        </row>
        <row r="297">
          <cell r="B297" t="str">
            <v>1E51H95E</v>
          </cell>
          <cell r="H297">
            <v>0</v>
          </cell>
          <cell r="AG297">
            <v>0</v>
          </cell>
        </row>
        <row r="298">
          <cell r="B298" t="str">
            <v>1E51H71E</v>
          </cell>
          <cell r="H298">
            <v>0</v>
          </cell>
          <cell r="AG298">
            <v>0</v>
          </cell>
        </row>
        <row r="299">
          <cell r="B299" t="str">
            <v>1E51H76E</v>
          </cell>
          <cell r="H299">
            <v>0</v>
          </cell>
          <cell r="AG299">
            <v>0</v>
          </cell>
        </row>
        <row r="300">
          <cell r="B300" t="str">
            <v>1E51H77E</v>
          </cell>
          <cell r="H300">
            <v>0</v>
          </cell>
          <cell r="AG300">
            <v>0</v>
          </cell>
        </row>
        <row r="301">
          <cell r="B301" t="str">
            <v>1E51H80E</v>
          </cell>
          <cell r="H301">
            <v>0</v>
          </cell>
          <cell r="AG301">
            <v>0</v>
          </cell>
        </row>
        <row r="302">
          <cell r="B302" t="str">
            <v>1E51H78E</v>
          </cell>
          <cell r="H302">
            <v>0</v>
          </cell>
          <cell r="AG302">
            <v>0</v>
          </cell>
        </row>
        <row r="303">
          <cell r="B303" t="str">
            <v>1E51H22B</v>
          </cell>
          <cell r="H303">
            <v>923940</v>
          </cell>
          <cell r="AG303">
            <v>0</v>
          </cell>
        </row>
        <row r="304">
          <cell r="B304" t="str">
            <v>1E51H34B</v>
          </cell>
          <cell r="H304">
            <v>1178820</v>
          </cell>
          <cell r="AG304">
            <v>0</v>
          </cell>
        </row>
        <row r="305">
          <cell r="B305" t="str">
            <v>1E51H95E</v>
          </cell>
          <cell r="H305">
            <v>4970160</v>
          </cell>
          <cell r="AG305">
            <v>0</v>
          </cell>
        </row>
        <row r="306">
          <cell r="B306" t="str">
            <v>1E51H71E</v>
          </cell>
          <cell r="H306">
            <v>201291.48</v>
          </cell>
          <cell r="AG306">
            <v>0</v>
          </cell>
        </row>
        <row r="307">
          <cell r="B307" t="str">
            <v>1E51H76E</v>
          </cell>
          <cell r="H307">
            <v>88698.240000000005</v>
          </cell>
          <cell r="AG307">
            <v>0</v>
          </cell>
        </row>
        <row r="308">
          <cell r="B308" t="str">
            <v>1E51H77E</v>
          </cell>
          <cell r="H308">
            <v>61171.199999999997</v>
          </cell>
          <cell r="AG308">
            <v>0</v>
          </cell>
        </row>
        <row r="309">
          <cell r="B309" t="str">
            <v>1E51H80E</v>
          </cell>
          <cell r="H309">
            <v>12744</v>
          </cell>
          <cell r="AG309">
            <v>0</v>
          </cell>
        </row>
        <row r="310">
          <cell r="B310" t="str">
            <v>1E51H22B</v>
          </cell>
          <cell r="H310">
            <v>1411830</v>
          </cell>
          <cell r="AG310">
            <v>0</v>
          </cell>
        </row>
        <row r="311">
          <cell r="B311" t="str">
            <v>1E51H34B</v>
          </cell>
          <cell r="H311">
            <v>2902095</v>
          </cell>
          <cell r="AG311">
            <v>0</v>
          </cell>
        </row>
        <row r="312">
          <cell r="B312" t="str">
            <v>1E51H95E</v>
          </cell>
          <cell r="H312">
            <v>12235860</v>
          </cell>
          <cell r="AG312">
            <v>0</v>
          </cell>
        </row>
        <row r="313">
          <cell r="B313" t="str">
            <v>1E51H71E</v>
          </cell>
          <cell r="H313">
            <v>57814.438500000004</v>
          </cell>
          <cell r="AG313">
            <v>0</v>
          </cell>
        </row>
        <row r="314">
          <cell r="B314" t="str">
            <v>1E51H76E</v>
          </cell>
          <cell r="H314">
            <v>25036.451999999997</v>
          </cell>
          <cell r="AG314">
            <v>0</v>
          </cell>
        </row>
        <row r="315">
          <cell r="B315" t="str">
            <v>1E51H77E</v>
          </cell>
          <cell r="H315">
            <v>150595.20000000001</v>
          </cell>
          <cell r="AG315">
            <v>0</v>
          </cell>
        </row>
        <row r="316">
          <cell r="B316" t="str">
            <v>1E51H80E</v>
          </cell>
          <cell r="H316">
            <v>31374</v>
          </cell>
          <cell r="AG316">
            <v>0</v>
          </cell>
        </row>
        <row r="317">
          <cell r="B317" t="str">
            <v>1E51H41A</v>
          </cell>
          <cell r="H317">
            <v>752752.52</v>
          </cell>
          <cell r="AG317">
            <v>0</v>
          </cell>
        </row>
        <row r="318">
          <cell r="B318" t="str">
            <v>1E51H71E</v>
          </cell>
          <cell r="H318">
            <v>0</v>
          </cell>
          <cell r="AG318">
            <v>0</v>
          </cell>
        </row>
        <row r="319">
          <cell r="B319" t="str">
            <v>1E51H76E</v>
          </cell>
          <cell r="H319">
            <v>0</v>
          </cell>
          <cell r="AG319">
            <v>0</v>
          </cell>
        </row>
        <row r="320">
          <cell r="B320" t="str">
            <v>1E51H77E</v>
          </cell>
          <cell r="H320">
            <v>0</v>
          </cell>
          <cell r="AG320">
            <v>0</v>
          </cell>
        </row>
        <row r="321">
          <cell r="B321" t="str">
            <v>1E51H41A</v>
          </cell>
          <cell r="H321">
            <v>6235603.9200000009</v>
          </cell>
          <cell r="AG321">
            <v>0</v>
          </cell>
        </row>
        <row r="322">
          <cell r="B322" t="str">
            <v>1E51H71E</v>
          </cell>
          <cell r="H322">
            <v>0</v>
          </cell>
          <cell r="AG322">
            <v>0</v>
          </cell>
        </row>
        <row r="323">
          <cell r="B323" t="str">
            <v>1E51H76E</v>
          </cell>
          <cell r="H323">
            <v>0</v>
          </cell>
          <cell r="AG323">
            <v>0</v>
          </cell>
        </row>
        <row r="324">
          <cell r="B324" t="str">
            <v>1E51H77E</v>
          </cell>
          <cell r="H324">
            <v>0</v>
          </cell>
          <cell r="AG324">
            <v>0</v>
          </cell>
        </row>
        <row r="325">
          <cell r="B325" t="str">
            <v>1E51H22B</v>
          </cell>
          <cell r="H325">
            <v>32335</v>
          </cell>
          <cell r="AG325">
            <v>0</v>
          </cell>
        </row>
        <row r="326">
          <cell r="B326" t="str">
            <v>1E51H34B</v>
          </cell>
          <cell r="H326">
            <v>41255</v>
          </cell>
          <cell r="AG326">
            <v>0</v>
          </cell>
        </row>
        <row r="327">
          <cell r="B327" t="str">
            <v>1E51H95E</v>
          </cell>
          <cell r="H327">
            <v>36233.040000000001</v>
          </cell>
          <cell r="AG327">
            <v>0</v>
          </cell>
        </row>
        <row r="328">
          <cell r="B328" t="str">
            <v>1E51H71E</v>
          </cell>
          <cell r="H328">
            <v>7044.57</v>
          </cell>
          <cell r="AG328">
            <v>0</v>
          </cell>
        </row>
        <row r="329">
          <cell r="B329" t="str">
            <v>1E51H76E</v>
          </cell>
          <cell r="H329">
            <v>3104.16</v>
          </cell>
          <cell r="AG329">
            <v>0</v>
          </cell>
        </row>
        <row r="330">
          <cell r="B330" t="str">
            <v>1E51H77E</v>
          </cell>
          <cell r="H330">
            <v>2140.8000000000002</v>
          </cell>
          <cell r="AG330">
            <v>0</v>
          </cell>
        </row>
        <row r="331">
          <cell r="B331" t="str">
            <v>1E51H80E</v>
          </cell>
          <cell r="H331">
            <v>446</v>
          </cell>
          <cell r="AG331">
            <v>0</v>
          </cell>
        </row>
        <row r="332">
          <cell r="B332" t="str">
            <v>1E51H24B</v>
          </cell>
          <cell r="H332">
            <v>4103040</v>
          </cell>
          <cell r="AG332">
            <v>1500000</v>
          </cell>
        </row>
        <row r="333">
          <cell r="B333" t="str">
            <v>1E52I12A</v>
          </cell>
          <cell r="H333">
            <v>897540</v>
          </cell>
          <cell r="AG333">
            <v>1389600</v>
          </cell>
        </row>
        <row r="334">
          <cell r="B334" t="str">
            <v>1E51H71E</v>
          </cell>
          <cell r="H334">
            <v>540062.64</v>
          </cell>
          <cell r="AG334">
            <v>236780</v>
          </cell>
        </row>
        <row r="335">
          <cell r="B335" t="str">
            <v>1E51H76E</v>
          </cell>
          <cell r="H335">
            <v>233873.28</v>
          </cell>
          <cell r="AG335">
            <v>0</v>
          </cell>
        </row>
        <row r="336">
          <cell r="B336" t="str">
            <v>1E51H77E</v>
          </cell>
          <cell r="H336">
            <v>82060.800000000003</v>
          </cell>
          <cell r="AG336">
            <v>9048</v>
          </cell>
        </row>
        <row r="337">
          <cell r="B337" t="str">
            <v>1E51H24B</v>
          </cell>
          <cell r="H337">
            <v>2678400</v>
          </cell>
          <cell r="AG337">
            <v>0</v>
          </cell>
        </row>
        <row r="338">
          <cell r="B338" t="str">
            <v>1E52I12A</v>
          </cell>
          <cell r="H338">
            <v>585900</v>
          </cell>
          <cell r="AG338">
            <v>0</v>
          </cell>
        </row>
        <row r="339">
          <cell r="B339" t="str">
            <v>1E51H71E</v>
          </cell>
          <cell r="H339">
            <v>352544.4</v>
          </cell>
          <cell r="AG339">
            <v>0</v>
          </cell>
        </row>
        <row r="340">
          <cell r="B340" t="str">
            <v>1E51H76E</v>
          </cell>
          <cell r="H340">
            <v>152668.79999999999</v>
          </cell>
          <cell r="AG340">
            <v>0</v>
          </cell>
        </row>
        <row r="341">
          <cell r="B341" t="str">
            <v>1E51H77E</v>
          </cell>
          <cell r="H341">
            <v>53568</v>
          </cell>
          <cell r="AG341">
            <v>0</v>
          </cell>
        </row>
        <row r="342">
          <cell r="B342" t="str">
            <v>1E51H24B</v>
          </cell>
          <cell r="H342">
            <v>1920000</v>
          </cell>
          <cell r="AG342">
            <v>0</v>
          </cell>
        </row>
        <row r="343">
          <cell r="B343" t="str">
            <v>1E52I12A</v>
          </cell>
          <cell r="H343">
            <v>896000</v>
          </cell>
          <cell r="AG343">
            <v>0</v>
          </cell>
        </row>
        <row r="344">
          <cell r="B344" t="str">
            <v>1E51H71E</v>
          </cell>
          <cell r="H344">
            <v>94348.800000000003</v>
          </cell>
          <cell r="AG344">
            <v>0</v>
          </cell>
        </row>
        <row r="345">
          <cell r="B345" t="str">
            <v>1E51H76E</v>
          </cell>
          <cell r="H345">
            <v>40857.599999999999</v>
          </cell>
          <cell r="AG345">
            <v>0</v>
          </cell>
        </row>
        <row r="346">
          <cell r="B346" t="str">
            <v>1E51H77E</v>
          </cell>
          <cell r="H346">
            <v>81920</v>
          </cell>
          <cell r="AG346">
            <v>0</v>
          </cell>
        </row>
        <row r="347">
          <cell r="B347" t="str">
            <v>1E51H24B</v>
          </cell>
          <cell r="H347">
            <v>25394560</v>
          </cell>
          <cell r="AG347">
            <v>5070726</v>
          </cell>
        </row>
        <row r="348">
          <cell r="B348" t="str">
            <v>1E52I12A</v>
          </cell>
          <cell r="H348">
            <v>8729380</v>
          </cell>
          <cell r="AG348">
            <v>246400</v>
          </cell>
        </row>
        <row r="349">
          <cell r="B349" t="str">
            <v>1E51H71E</v>
          </cell>
          <cell r="H349">
            <v>3342558.96</v>
          </cell>
          <cell r="AG349">
            <v>1740192</v>
          </cell>
        </row>
        <row r="350">
          <cell r="B350" t="str">
            <v>1E51H76E</v>
          </cell>
          <cell r="H350">
            <v>1447489.92</v>
          </cell>
          <cell r="AG350">
            <v>6886356</v>
          </cell>
        </row>
        <row r="351">
          <cell r="B351" t="str">
            <v>1E51H77E</v>
          </cell>
          <cell r="H351">
            <v>507891.20000000001</v>
          </cell>
          <cell r="AG351">
            <v>150668</v>
          </cell>
        </row>
        <row r="352">
          <cell r="B352" t="str">
            <v>1E51H24B</v>
          </cell>
          <cell r="H352">
            <v>7690950</v>
          </cell>
          <cell r="AG352">
            <v>0</v>
          </cell>
        </row>
        <row r="353">
          <cell r="B353" t="str">
            <v>1E52I12A</v>
          </cell>
          <cell r="H353">
            <v>5640030</v>
          </cell>
          <cell r="AG353">
            <v>0</v>
          </cell>
        </row>
        <row r="354">
          <cell r="B354" t="str">
            <v>1E51H71E</v>
          </cell>
          <cell r="H354">
            <v>377933.283</v>
          </cell>
          <cell r="AG354">
            <v>0</v>
          </cell>
        </row>
        <row r="355">
          <cell r="B355" t="str">
            <v>1E51H76E</v>
          </cell>
          <cell r="H355">
            <v>163663.416</v>
          </cell>
          <cell r="AG355">
            <v>0</v>
          </cell>
        </row>
        <row r="356">
          <cell r="B356" t="str">
            <v>1E51H77E</v>
          </cell>
          <cell r="H356">
            <v>328147.20000000001</v>
          </cell>
          <cell r="AG356">
            <v>0</v>
          </cell>
        </row>
        <row r="357">
          <cell r="B357" t="str">
            <v>1E51H24B</v>
          </cell>
          <cell r="H357">
            <v>1580160</v>
          </cell>
          <cell r="AG357">
            <v>0</v>
          </cell>
        </row>
        <row r="358">
          <cell r="B358" t="str">
            <v>1E52I12A</v>
          </cell>
          <cell r="H358">
            <v>711072</v>
          </cell>
          <cell r="AG358">
            <v>0</v>
          </cell>
        </row>
        <row r="359">
          <cell r="B359" t="str">
            <v>1E51H71E</v>
          </cell>
          <cell r="H359">
            <v>207988.56</v>
          </cell>
          <cell r="AG359">
            <v>43930</v>
          </cell>
        </row>
        <row r="360">
          <cell r="B360" t="str">
            <v>1E51H76E</v>
          </cell>
          <cell r="H360">
            <v>90069.119999999995</v>
          </cell>
          <cell r="AG360">
            <v>27143</v>
          </cell>
        </row>
        <row r="361">
          <cell r="B361" t="str">
            <v>1E51H77E</v>
          </cell>
          <cell r="H361">
            <v>31603.200000000001</v>
          </cell>
          <cell r="AG361">
            <v>0</v>
          </cell>
        </row>
        <row r="362">
          <cell r="B362" t="str">
            <v>1D31H23B</v>
          </cell>
          <cell r="H362">
            <v>106260</v>
          </cell>
          <cell r="AG362">
            <v>0</v>
          </cell>
        </row>
        <row r="363">
          <cell r="B363" t="str">
            <v>1D31H71E</v>
          </cell>
          <cell r="H363">
            <v>22039.29</v>
          </cell>
          <cell r="AG363">
            <v>0</v>
          </cell>
        </row>
        <row r="364">
          <cell r="B364" t="str">
            <v>1D31H76E</v>
          </cell>
          <cell r="H364">
            <v>5564.16</v>
          </cell>
          <cell r="AG364">
            <v>0</v>
          </cell>
        </row>
        <row r="365">
          <cell r="B365" t="str">
            <v>1D31H77E</v>
          </cell>
          <cell r="H365">
            <v>1545.6</v>
          </cell>
          <cell r="AG365">
            <v>0</v>
          </cell>
        </row>
        <row r="366">
          <cell r="B366" t="str">
            <v>1D31H78E</v>
          </cell>
          <cell r="H366">
            <v>2898</v>
          </cell>
          <cell r="AG366">
            <v>81428</v>
          </cell>
        </row>
        <row r="367">
          <cell r="B367" t="str">
            <v>1D31H23B</v>
          </cell>
          <cell r="H367">
            <v>3072160</v>
          </cell>
          <cell r="AG367">
            <v>0</v>
          </cell>
        </row>
        <row r="368">
          <cell r="B368" t="str">
            <v>1D31H71E</v>
          </cell>
          <cell r="H368">
            <v>1078328.1599999999</v>
          </cell>
          <cell r="AG368">
            <v>0</v>
          </cell>
        </row>
        <row r="369">
          <cell r="B369" t="str">
            <v>1D31H76E</v>
          </cell>
          <cell r="H369">
            <v>272240.64000000001</v>
          </cell>
          <cell r="AG369">
            <v>0</v>
          </cell>
        </row>
        <row r="370">
          <cell r="B370" t="str">
            <v>1D31H77E</v>
          </cell>
          <cell r="H370">
            <v>75622.399999999994</v>
          </cell>
          <cell r="AG370">
            <v>0</v>
          </cell>
        </row>
        <row r="371">
          <cell r="B371" t="str">
            <v>1D31H78E</v>
          </cell>
          <cell r="H371">
            <v>141792</v>
          </cell>
          <cell r="AG371">
            <v>0</v>
          </cell>
        </row>
        <row r="372">
          <cell r="B372" t="str">
            <v>1D31H23B</v>
          </cell>
          <cell r="H372">
            <v>509745</v>
          </cell>
          <cell r="AG372">
            <v>0</v>
          </cell>
        </row>
        <row r="373">
          <cell r="B373" t="str">
            <v>1D31H71E</v>
          </cell>
          <cell r="H373">
            <v>63850.059000000001</v>
          </cell>
          <cell r="AG373">
            <v>0</v>
          </cell>
        </row>
        <row r="374">
          <cell r="B374" t="str">
            <v>1D31H76E</v>
          </cell>
          <cell r="H374">
            <v>16119.936000000003</v>
          </cell>
          <cell r="AG374">
            <v>0</v>
          </cell>
        </row>
        <row r="375">
          <cell r="B375" t="str">
            <v>1D31H77E</v>
          </cell>
          <cell r="H375">
            <v>95952</v>
          </cell>
          <cell r="AG375">
            <v>0</v>
          </cell>
        </row>
        <row r="376">
          <cell r="B376" t="str">
            <v>1D31H78E</v>
          </cell>
          <cell r="H376">
            <v>5997</v>
          </cell>
          <cell r="AG376">
            <v>0</v>
          </cell>
        </row>
        <row r="377">
          <cell r="B377" t="str">
            <v>1D31H22B</v>
          </cell>
          <cell r="H377">
            <v>13704460</v>
          </cell>
          <cell r="AG377">
            <v>0</v>
          </cell>
        </row>
        <row r="378">
          <cell r="B378" t="str">
            <v>1D31H34B</v>
          </cell>
          <cell r="H378">
            <v>13704460</v>
          </cell>
          <cell r="AG378">
            <v>0</v>
          </cell>
        </row>
        <row r="379">
          <cell r="B379" t="str">
            <v>1D31H94E</v>
          </cell>
          <cell r="H379">
            <v>16075331.58</v>
          </cell>
          <cell r="AG379">
            <v>0</v>
          </cell>
        </row>
        <row r="380">
          <cell r="B380" t="str">
            <v>1D31H71E</v>
          </cell>
          <cell r="H380">
            <v>2295808.5150000001</v>
          </cell>
          <cell r="AG380">
            <v>189580</v>
          </cell>
        </row>
        <row r="381">
          <cell r="B381" t="str">
            <v>1D31H76E</v>
          </cell>
          <cell r="H381">
            <v>994196.28</v>
          </cell>
          <cell r="AG381">
            <v>0</v>
          </cell>
        </row>
        <row r="382">
          <cell r="B382" t="str">
            <v>1D31H81E</v>
          </cell>
          <cell r="H382">
            <v>778662.5</v>
          </cell>
          <cell r="AG382">
            <v>0</v>
          </cell>
        </row>
        <row r="383">
          <cell r="B383" t="str">
            <v>1D31H80E</v>
          </cell>
          <cell r="H383">
            <v>311465</v>
          </cell>
          <cell r="AG383">
            <v>0</v>
          </cell>
        </row>
        <row r="384">
          <cell r="B384" t="str">
            <v>1D31H22B</v>
          </cell>
          <cell r="H384">
            <v>14291300</v>
          </cell>
          <cell r="AG384">
            <v>0</v>
          </cell>
        </row>
        <row r="385">
          <cell r="B385" t="str">
            <v>1D31H34B</v>
          </cell>
          <cell r="H385">
            <v>31440860</v>
          </cell>
          <cell r="AG385">
            <v>0</v>
          </cell>
        </row>
        <row r="386">
          <cell r="B386" t="str">
            <v>1D31H94E</v>
          </cell>
          <cell r="H386">
            <v>36880128.780000001</v>
          </cell>
          <cell r="AG386">
            <v>0</v>
          </cell>
        </row>
        <row r="387">
          <cell r="B387" t="str">
            <v>1D31H71E</v>
          </cell>
          <cell r="H387">
            <v>1053411.723</v>
          </cell>
          <cell r="AG387">
            <v>0</v>
          </cell>
        </row>
        <row r="388">
          <cell r="B388" t="str">
            <v>1D31H76E</v>
          </cell>
          <cell r="H388">
            <v>456178.29599999997</v>
          </cell>
          <cell r="AG388">
            <v>0</v>
          </cell>
        </row>
        <row r="389">
          <cell r="B389" t="str">
            <v>1D31H81E</v>
          </cell>
          <cell r="H389">
            <v>1786412.5</v>
          </cell>
          <cell r="AG389">
            <v>0</v>
          </cell>
        </row>
        <row r="390">
          <cell r="B390" t="str">
            <v>1D31H80E</v>
          </cell>
          <cell r="H390">
            <v>714565</v>
          </cell>
          <cell r="AG390">
            <v>0</v>
          </cell>
        </row>
        <row r="391">
          <cell r="B391" t="str">
            <v>1D31H22B</v>
          </cell>
          <cell r="H391">
            <v>95260</v>
          </cell>
          <cell r="AG391">
            <v>0</v>
          </cell>
        </row>
        <row r="392">
          <cell r="B392" t="str">
            <v>1D31H34B</v>
          </cell>
          <cell r="H392">
            <v>95260</v>
          </cell>
          <cell r="AG392">
            <v>0</v>
          </cell>
        </row>
        <row r="393">
          <cell r="B393" t="str">
            <v>1D31H94E</v>
          </cell>
          <cell r="H393">
            <v>113930.96</v>
          </cell>
          <cell r="AG393">
            <v>0</v>
          </cell>
        </row>
        <row r="394">
          <cell r="B394" t="str">
            <v>1D31H71E</v>
          </cell>
          <cell r="H394">
            <v>15958.215000000002</v>
          </cell>
          <cell r="AG394">
            <v>0</v>
          </cell>
        </row>
        <row r="395">
          <cell r="B395" t="str">
            <v>1D31H76E</v>
          </cell>
          <cell r="H395">
            <v>6910.68</v>
          </cell>
          <cell r="AG395">
            <v>0</v>
          </cell>
        </row>
        <row r="396">
          <cell r="B396" t="str">
            <v>1D31H81E</v>
          </cell>
          <cell r="H396">
            <v>5412.5</v>
          </cell>
          <cell r="AG396">
            <v>0</v>
          </cell>
        </row>
        <row r="397">
          <cell r="B397" t="str">
            <v>1D31H80E</v>
          </cell>
          <cell r="H397">
            <v>2165</v>
          </cell>
          <cell r="AG397">
            <v>0</v>
          </cell>
        </row>
        <row r="398">
          <cell r="B398" t="str">
            <v>1D31H22B</v>
          </cell>
          <cell r="H398">
            <v>635300</v>
          </cell>
          <cell r="AG398">
            <v>0</v>
          </cell>
        </row>
        <row r="399">
          <cell r="B399" t="str">
            <v>1D31H34B</v>
          </cell>
          <cell r="H399">
            <v>1397660</v>
          </cell>
          <cell r="AG399">
            <v>0</v>
          </cell>
        </row>
        <row r="400">
          <cell r="B400" t="str">
            <v>1D31H94E</v>
          </cell>
          <cell r="H400">
            <v>1694980.4</v>
          </cell>
          <cell r="AG400">
            <v>0</v>
          </cell>
        </row>
        <row r="401">
          <cell r="B401" t="str">
            <v>1D31H71E</v>
          </cell>
          <cell r="H401">
            <v>50019.606</v>
          </cell>
          <cell r="AG401">
            <v>0</v>
          </cell>
        </row>
        <row r="402">
          <cell r="B402" t="str">
            <v>1D31H76E</v>
          </cell>
          <cell r="H402">
            <v>21660.911999999997</v>
          </cell>
          <cell r="AG402">
            <v>0</v>
          </cell>
        </row>
        <row r="403">
          <cell r="B403" t="str">
            <v>1D31H81E</v>
          </cell>
          <cell r="H403">
            <v>84825</v>
          </cell>
          <cell r="AG403">
            <v>0</v>
          </cell>
        </row>
        <row r="404">
          <cell r="B404" t="str">
            <v>1D31H80E</v>
          </cell>
          <cell r="H404">
            <v>33930</v>
          </cell>
          <cell r="AG404">
            <v>0</v>
          </cell>
        </row>
        <row r="405">
          <cell r="B405" t="str">
            <v>1D31H22B</v>
          </cell>
          <cell r="H405">
            <v>1453100</v>
          </cell>
          <cell r="AG405">
            <v>0</v>
          </cell>
        </row>
        <row r="406">
          <cell r="B406" t="str">
            <v>1D31H34B</v>
          </cell>
          <cell r="H406">
            <v>1453100</v>
          </cell>
          <cell r="AG406">
            <v>0</v>
          </cell>
        </row>
        <row r="407">
          <cell r="B407" t="str">
            <v>1D31H94E</v>
          </cell>
          <cell r="H407">
            <v>1813468.8</v>
          </cell>
          <cell r="AG407">
            <v>0</v>
          </cell>
        </row>
        <row r="408">
          <cell r="B408" t="str">
            <v>1D31H71E</v>
          </cell>
          <cell r="H408">
            <v>243427.27500000002</v>
          </cell>
          <cell r="AG408">
            <v>0</v>
          </cell>
        </row>
        <row r="409">
          <cell r="B409" t="str">
            <v>1D31H76E</v>
          </cell>
          <cell r="H409">
            <v>105415.8</v>
          </cell>
          <cell r="AG409">
            <v>0</v>
          </cell>
        </row>
        <row r="410">
          <cell r="B410" t="str">
            <v>1D31H81E</v>
          </cell>
          <cell r="H410">
            <v>82562.5</v>
          </cell>
          <cell r="AG410">
            <v>0</v>
          </cell>
        </row>
        <row r="411">
          <cell r="B411" t="str">
            <v>1D31H80E</v>
          </cell>
          <cell r="H411">
            <v>33025</v>
          </cell>
          <cell r="AG411">
            <v>0</v>
          </cell>
        </row>
        <row r="412">
          <cell r="B412" t="str">
            <v>1D31H22B</v>
          </cell>
          <cell r="H412">
            <v>594100</v>
          </cell>
          <cell r="AG412">
            <v>0</v>
          </cell>
        </row>
        <row r="413">
          <cell r="B413" t="str">
            <v>1D31H34B</v>
          </cell>
          <cell r="H413">
            <v>1307020</v>
          </cell>
          <cell r="AG413">
            <v>0</v>
          </cell>
        </row>
        <row r="414">
          <cell r="B414" t="str">
            <v>1D31H94E</v>
          </cell>
          <cell r="H414">
            <v>1653974.4</v>
          </cell>
          <cell r="AG414">
            <v>0</v>
          </cell>
        </row>
        <row r="415">
          <cell r="B415" t="str">
            <v>1D31H71E</v>
          </cell>
          <cell r="H415">
            <v>48685.455000000002</v>
          </cell>
          <cell r="AG415">
            <v>0</v>
          </cell>
        </row>
        <row r="416">
          <cell r="B416" t="str">
            <v>1D31H76E</v>
          </cell>
          <cell r="H416">
            <v>21083.16</v>
          </cell>
          <cell r="AG416">
            <v>0</v>
          </cell>
        </row>
        <row r="417">
          <cell r="B417" t="str">
            <v>1D31H81E</v>
          </cell>
          <cell r="H417">
            <v>82562.5</v>
          </cell>
          <cell r="AG417">
            <v>0</v>
          </cell>
        </row>
        <row r="418">
          <cell r="B418" t="str">
            <v>1D31H80E</v>
          </cell>
          <cell r="H418">
            <v>33025</v>
          </cell>
          <cell r="AG418">
            <v>0</v>
          </cell>
        </row>
        <row r="419">
          <cell r="B419" t="str">
            <v>1D31H22B</v>
          </cell>
          <cell r="H419">
            <v>2678500</v>
          </cell>
          <cell r="AG419">
            <v>0</v>
          </cell>
        </row>
        <row r="420">
          <cell r="B420" t="str">
            <v>1D31H34B</v>
          </cell>
          <cell r="H420">
            <v>2678500</v>
          </cell>
          <cell r="AG420">
            <v>0</v>
          </cell>
        </row>
        <row r="421">
          <cell r="B421" t="str">
            <v>1D31H94E</v>
          </cell>
          <cell r="H421">
            <v>5117152.5</v>
          </cell>
          <cell r="AG421">
            <v>0</v>
          </cell>
        </row>
        <row r="422">
          <cell r="B422" t="str">
            <v>1D31H71E</v>
          </cell>
          <cell r="H422">
            <v>448709.62500000006</v>
          </cell>
          <cell r="AG422">
            <v>0</v>
          </cell>
        </row>
        <row r="423">
          <cell r="B423" t="str">
            <v>1D31H76E</v>
          </cell>
          <cell r="H423">
            <v>194313</v>
          </cell>
          <cell r="AG423">
            <v>0</v>
          </cell>
        </row>
        <row r="424">
          <cell r="B424" t="str">
            <v>1D31H81E</v>
          </cell>
          <cell r="H424">
            <v>152187.5</v>
          </cell>
          <cell r="AG424">
            <v>0</v>
          </cell>
        </row>
        <row r="425">
          <cell r="B425" t="str">
            <v>1D31H80E</v>
          </cell>
          <cell r="H425">
            <v>60875</v>
          </cell>
          <cell r="AG425">
            <v>0</v>
          </cell>
        </row>
        <row r="426">
          <cell r="B426" t="str">
            <v>1D31H22B</v>
          </cell>
          <cell r="H426">
            <v>2593200</v>
          </cell>
          <cell r="AG426">
            <v>0</v>
          </cell>
        </row>
        <row r="427">
          <cell r="B427" t="str">
            <v>1D31H34B</v>
          </cell>
          <cell r="H427">
            <v>5705040</v>
          </cell>
          <cell r="AG427">
            <v>0</v>
          </cell>
        </row>
        <row r="428">
          <cell r="B428" t="str">
            <v>1D31H94E</v>
          </cell>
          <cell r="H428">
            <v>10899219.6</v>
          </cell>
          <cell r="AG428">
            <v>0</v>
          </cell>
        </row>
        <row r="429">
          <cell r="B429" t="str">
            <v>1D31H71E</v>
          </cell>
          <cell r="H429">
            <v>191144.772</v>
          </cell>
          <cell r="AG429">
            <v>0</v>
          </cell>
        </row>
        <row r="430">
          <cell r="B430" t="str">
            <v>1D31H76E</v>
          </cell>
          <cell r="H430">
            <v>82774.943999999989</v>
          </cell>
          <cell r="AG430">
            <v>0</v>
          </cell>
        </row>
        <row r="431">
          <cell r="B431" t="str">
            <v>1D31H81E</v>
          </cell>
          <cell r="H431">
            <v>324150</v>
          </cell>
          <cell r="AG431">
            <v>0</v>
          </cell>
        </row>
        <row r="432">
          <cell r="B432" t="str">
            <v>1D31H80E</v>
          </cell>
          <cell r="H432">
            <v>129660</v>
          </cell>
          <cell r="AG432">
            <v>0</v>
          </cell>
        </row>
        <row r="433">
          <cell r="B433" t="str">
            <v>1D31H22B</v>
          </cell>
          <cell r="H433">
            <v>3936240</v>
          </cell>
          <cell r="AG433">
            <v>0</v>
          </cell>
        </row>
        <row r="434">
          <cell r="B434" t="str">
            <v>1D31H31B</v>
          </cell>
          <cell r="H434">
            <v>7872480</v>
          </cell>
          <cell r="AG434">
            <v>0</v>
          </cell>
        </row>
        <row r="435">
          <cell r="B435" t="str">
            <v>1D31H71E</v>
          </cell>
          <cell r="H435">
            <v>565208.28</v>
          </cell>
          <cell r="AG435">
            <v>0</v>
          </cell>
        </row>
        <row r="436">
          <cell r="B436" t="str">
            <v>1D31H76E</v>
          </cell>
          <cell r="H436">
            <v>244762.56</v>
          </cell>
          <cell r="AG436">
            <v>0</v>
          </cell>
        </row>
        <row r="437">
          <cell r="B437" t="str">
            <v>1D31H77E</v>
          </cell>
          <cell r="H437">
            <v>57254.400000000001</v>
          </cell>
          <cell r="AG437">
            <v>0</v>
          </cell>
        </row>
        <row r="438">
          <cell r="B438" t="str">
            <v>1D31H86E</v>
          </cell>
          <cell r="H438">
            <v>364996.8</v>
          </cell>
          <cell r="AG438">
            <v>0</v>
          </cell>
        </row>
        <row r="439">
          <cell r="B439" t="str">
            <v>1D31H87E</v>
          </cell>
          <cell r="H439">
            <v>91249.2</v>
          </cell>
          <cell r="AG439">
            <v>0</v>
          </cell>
        </row>
        <row r="440">
          <cell r="B440" t="str">
            <v>1D31H22B</v>
          </cell>
          <cell r="H440">
            <v>676200</v>
          </cell>
          <cell r="AG440">
            <v>0</v>
          </cell>
        </row>
        <row r="441">
          <cell r="B441" t="str">
            <v>1D31H31B</v>
          </cell>
          <cell r="H441">
            <v>2975280</v>
          </cell>
          <cell r="AG441">
            <v>0</v>
          </cell>
        </row>
        <row r="442">
          <cell r="B442" t="str">
            <v>1D31H71E</v>
          </cell>
          <cell r="H442">
            <v>49842.702000000005</v>
          </cell>
          <cell r="AG442">
            <v>0</v>
          </cell>
        </row>
        <row r="443">
          <cell r="B443" t="str">
            <v>1D31H76E</v>
          </cell>
          <cell r="H443">
            <v>21584.303999999996</v>
          </cell>
          <cell r="AG443">
            <v>0</v>
          </cell>
        </row>
        <row r="444">
          <cell r="B444" t="str">
            <v>1D31H77E</v>
          </cell>
          <cell r="H444">
            <v>21638.400000000001</v>
          </cell>
          <cell r="AG444">
            <v>0</v>
          </cell>
        </row>
        <row r="445">
          <cell r="B445" t="str">
            <v>1D31H86E</v>
          </cell>
          <cell r="H445">
            <v>137944.79999999999</v>
          </cell>
          <cell r="AG445">
            <v>0</v>
          </cell>
        </row>
        <row r="446">
          <cell r="B446" t="str">
            <v>1D31H87E</v>
          </cell>
          <cell r="H446">
            <v>34486.199999999997</v>
          </cell>
          <cell r="AG446">
            <v>0</v>
          </cell>
        </row>
        <row r="447">
          <cell r="B447" t="str">
            <v>1D36P10A</v>
          </cell>
          <cell r="H447">
            <v>2832900</v>
          </cell>
          <cell r="AG447">
            <v>0</v>
          </cell>
        </row>
        <row r="448">
          <cell r="B448" t="str">
            <v>1D31H41A</v>
          </cell>
          <cell r="H448">
            <v>580530</v>
          </cell>
          <cell r="AG448">
            <v>0</v>
          </cell>
        </row>
        <row r="449">
          <cell r="B449" t="str">
            <v>1D37Q03A</v>
          </cell>
          <cell r="H449">
            <v>2810000</v>
          </cell>
          <cell r="AG449">
            <v>1583150</v>
          </cell>
        </row>
        <row r="450">
          <cell r="B450" t="str">
            <v>1D37Q05A</v>
          </cell>
          <cell r="H450">
            <v>6983760</v>
          </cell>
          <cell r="AG450">
            <v>0</v>
          </cell>
        </row>
        <row r="451">
          <cell r="B451" t="str">
            <v>1E51H22B</v>
          </cell>
          <cell r="H451">
            <v>71328</v>
          </cell>
          <cell r="AG451">
            <v>0</v>
          </cell>
        </row>
        <row r="452">
          <cell r="B452" t="str">
            <v>1E51H32B</v>
          </cell>
          <cell r="H452">
            <v>544515.723</v>
          </cell>
          <cell r="AG452">
            <v>0</v>
          </cell>
        </row>
        <row r="453">
          <cell r="B453" t="str">
            <v>1E51H71E</v>
          </cell>
          <cell r="H453">
            <v>7823.79</v>
          </cell>
          <cell r="AG453">
            <v>0</v>
          </cell>
        </row>
        <row r="454">
          <cell r="B454" t="str">
            <v>1E51H86E</v>
          </cell>
          <cell r="H454">
            <v>10913.183999999999</v>
          </cell>
          <cell r="AG454">
            <v>0</v>
          </cell>
        </row>
        <row r="455">
          <cell r="B455" t="str">
            <v>1E51H87E</v>
          </cell>
          <cell r="H455">
            <v>1136.79</v>
          </cell>
          <cell r="AG455">
            <v>0</v>
          </cell>
        </row>
        <row r="456">
          <cell r="B456" t="str">
            <v>1E51H22B</v>
          </cell>
          <cell r="H456">
            <v>78363</v>
          </cell>
          <cell r="AG456">
            <v>0</v>
          </cell>
        </row>
        <row r="457">
          <cell r="B457" t="str">
            <v>1E51H32B</v>
          </cell>
          <cell r="H457">
            <v>1063503.4545</v>
          </cell>
          <cell r="AG457">
            <v>0</v>
          </cell>
        </row>
        <row r="458">
          <cell r="B458" t="str">
            <v>1E51H71E</v>
          </cell>
          <cell r="H458">
            <v>15280.785</v>
          </cell>
          <cell r="AG458">
            <v>0</v>
          </cell>
        </row>
        <row r="459">
          <cell r="B459" t="str">
            <v>1E51H86E</v>
          </cell>
          <cell r="H459">
            <v>21314.736000000001</v>
          </cell>
          <cell r="AG459">
            <v>0</v>
          </cell>
        </row>
        <row r="460">
          <cell r="B460" t="str">
            <v>1E51H87E</v>
          </cell>
          <cell r="H460">
            <v>2220.2849999999999</v>
          </cell>
          <cell r="AG460">
            <v>0</v>
          </cell>
        </row>
        <row r="461">
          <cell r="B461" t="str">
            <v>1E51I20A</v>
          </cell>
          <cell r="H461">
            <v>203140</v>
          </cell>
          <cell r="AG461">
            <v>0</v>
          </cell>
        </row>
        <row r="462">
          <cell r="B462" t="str">
            <v>1E51H95A</v>
          </cell>
          <cell r="H462">
            <v>453024</v>
          </cell>
          <cell r="AG462">
            <v>0</v>
          </cell>
        </row>
        <row r="463">
          <cell r="B463" t="str">
            <v>1E62K36A</v>
          </cell>
          <cell r="H463">
            <v>2884192</v>
          </cell>
          <cell r="AG463">
            <v>0</v>
          </cell>
        </row>
        <row r="464">
          <cell r="B464" t="str">
            <v>1D31H42A</v>
          </cell>
          <cell r="H464">
            <v>302505</v>
          </cell>
          <cell r="AG464">
            <v>0</v>
          </cell>
        </row>
        <row r="465">
          <cell r="B465" t="str">
            <v>1E51I01A</v>
          </cell>
          <cell r="H465">
            <v>1881360</v>
          </cell>
          <cell r="AG465">
            <v>609600</v>
          </cell>
        </row>
        <row r="466">
          <cell r="B466" t="str">
            <v>1E51H24B</v>
          </cell>
          <cell r="H466">
            <v>4646306</v>
          </cell>
          <cell r="AG466">
            <v>1226400</v>
          </cell>
        </row>
        <row r="467">
          <cell r="B467" t="str">
            <v>1E51H71E</v>
          </cell>
          <cell r="H467">
            <v>619311.42000000004</v>
          </cell>
          <cell r="AG467">
            <v>0</v>
          </cell>
        </row>
        <row r="468">
          <cell r="B468" t="str">
            <v>1E51H76E</v>
          </cell>
          <cell r="H468">
            <v>268191.84000000003</v>
          </cell>
          <cell r="AG468">
            <v>0</v>
          </cell>
        </row>
        <row r="469">
          <cell r="B469" t="str">
            <v>1E51H77E</v>
          </cell>
          <cell r="H469">
            <v>94102.399999999994</v>
          </cell>
          <cell r="AG469">
            <v>0</v>
          </cell>
        </row>
        <row r="470">
          <cell r="B470" t="str">
            <v>1E51I01A</v>
          </cell>
          <cell r="H470">
            <v>5306675.5</v>
          </cell>
          <cell r="AG470">
            <v>0</v>
          </cell>
        </row>
        <row r="471">
          <cell r="B471" t="str">
            <v>1E51H24B</v>
          </cell>
          <cell r="H471">
            <v>400560</v>
          </cell>
          <cell r="AG471">
            <v>0</v>
          </cell>
        </row>
        <row r="472">
          <cell r="B472" t="str">
            <v>1E52I12A</v>
          </cell>
          <cell r="H472">
            <v>550770</v>
          </cell>
          <cell r="AG472">
            <v>0</v>
          </cell>
        </row>
        <row r="473">
          <cell r="B473" t="str">
            <v>1E51H71E</v>
          </cell>
          <cell r="H473">
            <v>52723.71</v>
          </cell>
          <cell r="AG473">
            <v>0</v>
          </cell>
        </row>
        <row r="474">
          <cell r="B474" t="str">
            <v>1E51H77E</v>
          </cell>
          <cell r="H474">
            <v>32044.799999999999</v>
          </cell>
          <cell r="AG474">
            <v>0</v>
          </cell>
        </row>
        <row r="475">
          <cell r="B475" t="str">
            <v>1E51H24B</v>
          </cell>
          <cell r="H475">
            <v>3509480</v>
          </cell>
          <cell r="AG475">
            <v>0</v>
          </cell>
        </row>
        <row r="476">
          <cell r="B476" t="str">
            <v>1E52I12A</v>
          </cell>
          <cell r="H476">
            <v>4825535</v>
          </cell>
          <cell r="AG476">
            <v>0</v>
          </cell>
        </row>
        <row r="477">
          <cell r="B477" t="str">
            <v>1E51H71E</v>
          </cell>
          <cell r="H477">
            <v>461935.30499999999</v>
          </cell>
          <cell r="AG477">
            <v>0</v>
          </cell>
        </row>
        <row r="478">
          <cell r="B478" t="str">
            <v>1E51H77E</v>
          </cell>
          <cell r="H478">
            <v>280758.40000000002</v>
          </cell>
          <cell r="AG478">
            <v>0</v>
          </cell>
        </row>
        <row r="479">
          <cell r="B479" t="str">
            <v>1E51H23B</v>
          </cell>
          <cell r="H479">
            <v>1955724</v>
          </cell>
          <cell r="AG479">
            <v>0</v>
          </cell>
        </row>
        <row r="480">
          <cell r="B480" t="str">
            <v>1E52I12A</v>
          </cell>
          <cell r="H480">
            <v>433230</v>
          </cell>
          <cell r="AG480">
            <v>0</v>
          </cell>
        </row>
        <row r="481">
          <cell r="B481" t="str">
            <v>1E51H71E</v>
          </cell>
          <cell r="H481">
            <v>260680.68</v>
          </cell>
          <cell r="AG481">
            <v>0</v>
          </cell>
        </row>
        <row r="482">
          <cell r="B482" t="str">
            <v>1E51H76E</v>
          </cell>
          <cell r="H482">
            <v>112887.36</v>
          </cell>
          <cell r="AG482">
            <v>0</v>
          </cell>
        </row>
        <row r="483">
          <cell r="B483" t="str">
            <v>1E51H77E</v>
          </cell>
          <cell r="H483">
            <v>39609.599999999999</v>
          </cell>
          <cell r="AG483">
            <v>0</v>
          </cell>
        </row>
        <row r="484">
          <cell r="B484" t="str">
            <v>1E51H23B</v>
          </cell>
          <cell r="H484">
            <v>2631016</v>
          </cell>
          <cell r="AG484">
            <v>0</v>
          </cell>
        </row>
        <row r="485">
          <cell r="B485" t="str">
            <v>1E52I12A</v>
          </cell>
          <cell r="H485">
            <v>915860</v>
          </cell>
          <cell r="AG485">
            <v>0</v>
          </cell>
        </row>
        <row r="486">
          <cell r="B486" t="str">
            <v>1E51H71E</v>
          </cell>
          <cell r="H486">
            <v>350691.12</v>
          </cell>
          <cell r="AG486">
            <v>0</v>
          </cell>
        </row>
        <row r="487">
          <cell r="B487" t="str">
            <v>1E51H76E</v>
          </cell>
          <cell r="H487">
            <v>151866.23999999999</v>
          </cell>
          <cell r="AG487">
            <v>0</v>
          </cell>
        </row>
        <row r="488">
          <cell r="B488" t="str">
            <v>1E51H77E</v>
          </cell>
          <cell r="H488">
            <v>53286.400000000001</v>
          </cell>
          <cell r="AG488">
            <v>0</v>
          </cell>
        </row>
        <row r="489">
          <cell r="B489" t="str">
            <v>1E58J42A</v>
          </cell>
          <cell r="H489">
            <v>12862880</v>
          </cell>
          <cell r="AG489">
            <v>0</v>
          </cell>
        </row>
        <row r="490">
          <cell r="B490" t="str">
            <v>1E58J01A</v>
          </cell>
          <cell r="H490">
            <v>84000</v>
          </cell>
          <cell r="AG490">
            <v>0</v>
          </cell>
        </row>
        <row r="491">
          <cell r="B491" t="str">
            <v>1E58J11A</v>
          </cell>
          <cell r="H491">
            <v>4870918</v>
          </cell>
          <cell r="AG491">
            <v>0</v>
          </cell>
        </row>
        <row r="492">
          <cell r="B492" t="str">
            <v>1E58J44A</v>
          </cell>
          <cell r="H492">
            <v>9465600</v>
          </cell>
          <cell r="AG492">
            <v>0</v>
          </cell>
        </row>
        <row r="493">
          <cell r="B493" t="str">
            <v>1E51H03B</v>
          </cell>
          <cell r="H493">
            <v>21118636.799999997</v>
          </cell>
          <cell r="AG493">
            <v>2379300</v>
          </cell>
        </row>
        <row r="494">
          <cell r="B494" t="str">
            <v>1E51H01E</v>
          </cell>
          <cell r="H494">
            <v>11966537.142857144</v>
          </cell>
          <cell r="AG494">
            <v>2934954</v>
          </cell>
        </row>
        <row r="495">
          <cell r="B495" t="str">
            <v>1E51H71E</v>
          </cell>
          <cell r="H495">
            <v>1978966.08</v>
          </cell>
          <cell r="AG495">
            <v>0</v>
          </cell>
        </row>
        <row r="496">
          <cell r="B496" t="str">
            <v>1E51H76E</v>
          </cell>
          <cell r="H496">
            <v>811883.52000000002</v>
          </cell>
          <cell r="AG496">
            <v>0</v>
          </cell>
        </row>
        <row r="497">
          <cell r="B497" t="str">
            <v>1E51H06B</v>
          </cell>
          <cell r="H497">
            <v>129108</v>
          </cell>
          <cell r="AG497">
            <v>0</v>
          </cell>
        </row>
        <row r="498">
          <cell r="B498" t="str">
            <v>1E51H06E</v>
          </cell>
          <cell r="H498">
            <v>93960</v>
          </cell>
          <cell r="AG498">
            <v>0</v>
          </cell>
        </row>
        <row r="499">
          <cell r="B499" t="str">
            <v>1E51H71E</v>
          </cell>
          <cell r="H499">
            <v>1357.2</v>
          </cell>
          <cell r="AG499">
            <v>0</v>
          </cell>
        </row>
        <row r="500">
          <cell r="B500" t="str">
            <v>1E51H76E</v>
          </cell>
          <cell r="H500">
            <v>222.72</v>
          </cell>
          <cell r="AG500">
            <v>0</v>
          </cell>
        </row>
        <row r="501">
          <cell r="B501" t="str">
            <v>1E51H06A</v>
          </cell>
          <cell r="H501">
            <v>0</v>
          </cell>
          <cell r="AG501">
            <v>0</v>
          </cell>
        </row>
        <row r="502">
          <cell r="B502" t="str">
            <v>1E51H06A</v>
          </cell>
          <cell r="H502">
            <v>0</v>
          </cell>
          <cell r="AG502">
            <v>0</v>
          </cell>
        </row>
        <row r="503">
          <cell r="B503" t="str">
            <v>1E51H06A</v>
          </cell>
          <cell r="H503">
            <v>0</v>
          </cell>
          <cell r="AG503">
            <v>0</v>
          </cell>
        </row>
        <row r="504">
          <cell r="B504" t="str">
            <v>1E51H03B</v>
          </cell>
          <cell r="H504">
            <v>14858</v>
          </cell>
          <cell r="AG504">
            <v>0</v>
          </cell>
        </row>
        <row r="505">
          <cell r="B505" t="str">
            <v>1E51H01E</v>
          </cell>
          <cell r="H505">
            <v>8419.0476190476202</v>
          </cell>
          <cell r="AG505">
            <v>0</v>
          </cell>
        </row>
        <row r="506">
          <cell r="B506" t="str">
            <v>1E51H71E</v>
          </cell>
          <cell r="H506">
            <v>1392.3</v>
          </cell>
          <cell r="AG506">
            <v>0</v>
          </cell>
        </row>
        <row r="507">
          <cell r="B507" t="str">
            <v>1E51H76E</v>
          </cell>
          <cell r="H507">
            <v>571.20000000000005</v>
          </cell>
          <cell r="AG507">
            <v>0</v>
          </cell>
        </row>
        <row r="508">
          <cell r="B508" t="str">
            <v>1J00K28A</v>
          </cell>
          <cell r="H508">
            <v>524400</v>
          </cell>
          <cell r="AG508">
            <v>0</v>
          </cell>
        </row>
        <row r="509">
          <cell r="B509" t="str">
            <v>1J00R59A</v>
          </cell>
          <cell r="H509">
            <v>804988.8</v>
          </cell>
          <cell r="AG509">
            <v>0</v>
          </cell>
        </row>
        <row r="510">
          <cell r="B510" t="str">
            <v>1J00R59A</v>
          </cell>
          <cell r="H510">
            <v>384267.50208000001</v>
          </cell>
          <cell r="AG510">
            <v>0</v>
          </cell>
        </row>
        <row r="511">
          <cell r="B511" t="str">
            <v>1J00R59A</v>
          </cell>
          <cell r="H511">
            <v>6342.3360000000002</v>
          </cell>
          <cell r="AG511">
            <v>0</v>
          </cell>
        </row>
        <row r="512">
          <cell r="B512" t="str">
            <v>1J00R59A</v>
          </cell>
          <cell r="H512">
            <v>20685.772799999999</v>
          </cell>
          <cell r="AG512">
            <v>0</v>
          </cell>
        </row>
        <row r="513">
          <cell r="B513" t="str">
            <v>1J00R59A</v>
          </cell>
          <cell r="H513">
            <v>910800</v>
          </cell>
          <cell r="AG513">
            <v>0</v>
          </cell>
        </row>
        <row r="514">
          <cell r="B514" t="str">
            <v>1J00R59A</v>
          </cell>
          <cell r="H514">
            <v>1550060</v>
          </cell>
          <cell r="AG514">
            <v>0</v>
          </cell>
        </row>
        <row r="515">
          <cell r="B515" t="str">
            <v>1J00R59A</v>
          </cell>
          <cell r="H515">
            <v>10174.5</v>
          </cell>
          <cell r="AG515">
            <v>0</v>
          </cell>
        </row>
        <row r="516">
          <cell r="B516" t="str">
            <v>1D36P80A</v>
          </cell>
          <cell r="H516">
            <v>3154327.02</v>
          </cell>
          <cell r="AG516">
            <v>0</v>
          </cell>
        </row>
        <row r="517">
          <cell r="B517" t="str">
            <v>1D36P80A</v>
          </cell>
          <cell r="H517">
            <v>1772167.26</v>
          </cell>
          <cell r="AG517">
            <v>0</v>
          </cell>
        </row>
        <row r="518">
          <cell r="B518" t="str">
            <v>1E56K38A</v>
          </cell>
          <cell r="H518">
            <v>4082160</v>
          </cell>
          <cell r="AG518">
            <v>0</v>
          </cell>
        </row>
        <row r="519">
          <cell r="B519" t="str">
            <v>1E51H03A</v>
          </cell>
          <cell r="H519">
            <v>4068672.0639999998</v>
          </cell>
          <cell r="AG519">
            <v>0</v>
          </cell>
        </row>
        <row r="520">
          <cell r="B520" t="str">
            <v>1D36P21A</v>
          </cell>
          <cell r="H520">
            <v>16121458.200000001</v>
          </cell>
          <cell r="AG520">
            <v>0</v>
          </cell>
        </row>
        <row r="521">
          <cell r="B521" t="str">
            <v>1D36P21A</v>
          </cell>
          <cell r="H521">
            <v>4817241</v>
          </cell>
          <cell r="AG521">
            <v>0</v>
          </cell>
        </row>
        <row r="522">
          <cell r="B522" t="str">
            <v>1D36P21A</v>
          </cell>
          <cell r="H522">
            <v>1365300</v>
          </cell>
          <cell r="AG522">
            <v>0</v>
          </cell>
        </row>
        <row r="523">
          <cell r="B523" t="str">
            <v>1D36P31A</v>
          </cell>
          <cell r="H523">
            <v>76320</v>
          </cell>
          <cell r="AG523">
            <v>0</v>
          </cell>
        </row>
        <row r="524">
          <cell r="B524" t="str">
            <v>1D36P31A</v>
          </cell>
          <cell r="H524">
            <v>769230</v>
          </cell>
          <cell r="AG524">
            <v>0</v>
          </cell>
        </row>
        <row r="525">
          <cell r="B525" t="str">
            <v>1D36P31A</v>
          </cell>
          <cell r="H525">
            <v>139162.5</v>
          </cell>
          <cell r="AG525">
            <v>0</v>
          </cell>
        </row>
        <row r="526">
          <cell r="B526" t="str">
            <v>1D36P31A</v>
          </cell>
          <cell r="H526">
            <v>76320</v>
          </cell>
          <cell r="AG526">
            <v>0</v>
          </cell>
        </row>
        <row r="527">
          <cell r="B527" t="str">
            <v>1D36P31A</v>
          </cell>
          <cell r="H527">
            <v>290160</v>
          </cell>
          <cell r="AG527">
            <v>0</v>
          </cell>
        </row>
        <row r="528">
          <cell r="B528" t="str">
            <v>1D36P31A</v>
          </cell>
          <cell r="H528">
            <v>67860</v>
          </cell>
          <cell r="AG528">
            <v>0</v>
          </cell>
        </row>
        <row r="529">
          <cell r="B529" t="str">
            <v>1D36P40A</v>
          </cell>
          <cell r="H529">
            <v>319500</v>
          </cell>
          <cell r="AG529">
            <v>0</v>
          </cell>
        </row>
        <row r="530">
          <cell r="B530" t="str">
            <v>1D36P42A</v>
          </cell>
          <cell r="H530">
            <v>817525.8</v>
          </cell>
          <cell r="AG530">
            <v>0</v>
          </cell>
        </row>
        <row r="531">
          <cell r="B531" t="str">
            <v>1D36P40A</v>
          </cell>
          <cell r="H531">
            <v>1370880</v>
          </cell>
          <cell r="AG531">
            <v>0</v>
          </cell>
        </row>
        <row r="532">
          <cell r="B532" t="str">
            <v>1E51H89A</v>
          </cell>
          <cell r="H532">
            <v>1194256</v>
          </cell>
          <cell r="AG532">
            <v>0</v>
          </cell>
        </row>
        <row r="533">
          <cell r="B533" t="str">
            <v>1D36P44A</v>
          </cell>
          <cell r="H533">
            <v>151351.87359999999</v>
          </cell>
          <cell r="AG533">
            <v>0</v>
          </cell>
        </row>
        <row r="534">
          <cell r="B534" t="str">
            <v>1E62K32A</v>
          </cell>
          <cell r="H534">
            <v>1040760</v>
          </cell>
          <cell r="AG534">
            <v>0</v>
          </cell>
        </row>
        <row r="535">
          <cell r="B535" t="str">
            <v>1J00R53A</v>
          </cell>
          <cell r="H535">
            <v>2317800</v>
          </cell>
          <cell r="AG535">
            <v>0</v>
          </cell>
        </row>
        <row r="536">
          <cell r="B536" t="str">
            <v>1J00R53A</v>
          </cell>
          <cell r="H536">
            <v>513600</v>
          </cell>
          <cell r="AG536">
            <v>561777</v>
          </cell>
        </row>
        <row r="537">
          <cell r="B537" t="str">
            <v>1J00R53A</v>
          </cell>
          <cell r="H537">
            <v>2880570</v>
          </cell>
          <cell r="AG537">
            <v>1057850</v>
          </cell>
        </row>
        <row r="538">
          <cell r="B538" t="str">
            <v>1J00R53A</v>
          </cell>
          <cell r="H538">
            <v>1030000</v>
          </cell>
          <cell r="AG538">
            <v>16510</v>
          </cell>
        </row>
        <row r="539">
          <cell r="B539" t="str">
            <v>1J00R59A</v>
          </cell>
          <cell r="H539">
            <v>1742832</v>
          </cell>
          <cell r="AG539">
            <v>0</v>
          </cell>
        </row>
        <row r="540">
          <cell r="B540" t="str">
            <v>1J00R59A</v>
          </cell>
          <cell r="H540">
            <v>28000</v>
          </cell>
          <cell r="AG540">
            <v>0</v>
          </cell>
        </row>
        <row r="541">
          <cell r="B541" t="str">
            <v>1J00R59A</v>
          </cell>
          <cell r="H541">
            <v>15000</v>
          </cell>
          <cell r="AG541">
            <v>0</v>
          </cell>
        </row>
        <row r="542">
          <cell r="B542" t="str">
            <v>1J00R57A</v>
          </cell>
          <cell r="H542">
            <v>666120</v>
          </cell>
          <cell r="AG542">
            <v>0</v>
          </cell>
        </row>
        <row r="543">
          <cell r="B543" t="str">
            <v>1J00R57A</v>
          </cell>
          <cell r="H543">
            <v>417200</v>
          </cell>
          <cell r="AG543">
            <v>0</v>
          </cell>
        </row>
        <row r="544">
          <cell r="B544" t="str">
            <v>1E56P40A</v>
          </cell>
          <cell r="H544">
            <v>72500</v>
          </cell>
          <cell r="AG544">
            <v>0</v>
          </cell>
        </row>
        <row r="545">
          <cell r="B545" t="str">
            <v>1J00R52A</v>
          </cell>
          <cell r="H545">
            <v>460800</v>
          </cell>
          <cell r="AG545">
            <v>0</v>
          </cell>
        </row>
        <row r="546">
          <cell r="B546" t="str">
            <v>1E51H23B</v>
          </cell>
          <cell r="H546">
            <v>417600</v>
          </cell>
          <cell r="AG546">
            <v>0</v>
          </cell>
        </row>
        <row r="547">
          <cell r="B547" t="str">
            <v>1E51H71E</v>
          </cell>
          <cell r="H547">
            <v>44056.800000000003</v>
          </cell>
          <cell r="AG547">
            <v>0</v>
          </cell>
        </row>
        <row r="548">
          <cell r="B548" t="str">
            <v>1E51H76E</v>
          </cell>
          <cell r="H548">
            <v>20044.8</v>
          </cell>
          <cell r="AG548">
            <v>0</v>
          </cell>
        </row>
        <row r="549">
          <cell r="B549" t="str">
            <v>1E51H77E</v>
          </cell>
          <cell r="H549">
            <v>8352</v>
          </cell>
          <cell r="AG549">
            <v>0</v>
          </cell>
        </row>
        <row r="550">
          <cell r="B550" t="str">
            <v>1E51H78E</v>
          </cell>
          <cell r="H550">
            <v>15660</v>
          </cell>
          <cell r="AG550">
            <v>0</v>
          </cell>
        </row>
        <row r="551">
          <cell r="B551" t="str">
            <v>1J00P21A</v>
          </cell>
          <cell r="H551">
            <v>21000</v>
          </cell>
          <cell r="AG551">
            <v>0</v>
          </cell>
        </row>
        <row r="552">
          <cell r="B552" t="str">
            <v>1J00P21A</v>
          </cell>
          <cell r="H552">
            <v>10680</v>
          </cell>
          <cell r="AG552">
            <v>0</v>
          </cell>
        </row>
        <row r="553">
          <cell r="B553" t="str">
            <v>1G62R02A</v>
          </cell>
          <cell r="H553">
            <v>427320</v>
          </cell>
          <cell r="AG553">
            <v>0</v>
          </cell>
        </row>
        <row r="554">
          <cell r="B554" t="str">
            <v>1G62R02A</v>
          </cell>
          <cell r="H554">
            <v>883440</v>
          </cell>
          <cell r="AG554">
            <v>0</v>
          </cell>
        </row>
        <row r="555">
          <cell r="B555" t="str">
            <v>1G62R02A</v>
          </cell>
          <cell r="H555">
            <v>189200</v>
          </cell>
          <cell r="AG555">
            <v>0</v>
          </cell>
        </row>
        <row r="556">
          <cell r="B556" t="str">
            <v>1G62R02A</v>
          </cell>
          <cell r="H556">
            <v>134000</v>
          </cell>
          <cell r="AG556">
            <v>0</v>
          </cell>
        </row>
        <row r="557">
          <cell r="B557" t="str">
            <v>1G62R02A</v>
          </cell>
          <cell r="H557">
            <v>579600</v>
          </cell>
          <cell r="AG557">
            <v>0</v>
          </cell>
        </row>
        <row r="558">
          <cell r="B558" t="str">
            <v>1G62R02A</v>
          </cell>
          <cell r="H558">
            <v>205000</v>
          </cell>
          <cell r="AG558">
            <v>0</v>
          </cell>
        </row>
        <row r="559">
          <cell r="B559" t="str">
            <v>1G62R02A</v>
          </cell>
          <cell r="H559">
            <v>100000</v>
          </cell>
          <cell r="AG559">
            <v>0</v>
          </cell>
        </row>
        <row r="560">
          <cell r="B560" t="str">
            <v>1G62R02A</v>
          </cell>
          <cell r="H560">
            <v>115200</v>
          </cell>
          <cell r="AG560">
            <v>0</v>
          </cell>
        </row>
        <row r="561">
          <cell r="B561" t="str">
            <v>1G62R02A</v>
          </cell>
          <cell r="H561">
            <v>395500</v>
          </cell>
          <cell r="AG561">
            <v>0</v>
          </cell>
        </row>
        <row r="562">
          <cell r="B562" t="str">
            <v>1G62R02A</v>
          </cell>
          <cell r="H562">
            <v>320000</v>
          </cell>
          <cell r="AG562">
            <v>0</v>
          </cell>
        </row>
        <row r="563">
          <cell r="B563" t="str">
            <v>1G62R02A</v>
          </cell>
          <cell r="H563">
            <v>500400</v>
          </cell>
          <cell r="AG563">
            <v>0</v>
          </cell>
        </row>
        <row r="564">
          <cell r="B564" t="str">
            <v>1G62R02A</v>
          </cell>
          <cell r="H564">
            <v>476420</v>
          </cell>
          <cell r="AG564">
            <v>0</v>
          </cell>
        </row>
        <row r="565">
          <cell r="B565" t="str">
            <v>1G62R02A</v>
          </cell>
          <cell r="H565">
            <v>1106370</v>
          </cell>
          <cell r="AG565">
            <v>0</v>
          </cell>
        </row>
        <row r="566">
          <cell r="B566" t="str">
            <v>1G62R02A</v>
          </cell>
          <cell r="H566">
            <v>56250</v>
          </cell>
          <cell r="AG566">
            <v>0</v>
          </cell>
        </row>
        <row r="567">
          <cell r="B567" t="str">
            <v>1G62R02A</v>
          </cell>
          <cell r="H567">
            <v>370600</v>
          </cell>
          <cell r="AG567">
            <v>0</v>
          </cell>
        </row>
        <row r="568">
          <cell r="B568" t="str">
            <v>1G62R02A</v>
          </cell>
          <cell r="H568">
            <v>77970</v>
          </cell>
          <cell r="AG568">
            <v>0</v>
          </cell>
        </row>
        <row r="569">
          <cell r="B569" t="str">
            <v>1G62R02A</v>
          </cell>
          <cell r="H569">
            <v>25700</v>
          </cell>
          <cell r="AG569">
            <v>0</v>
          </cell>
        </row>
        <row r="570">
          <cell r="B570" t="str">
            <v>1G62R02A</v>
          </cell>
          <cell r="H570">
            <v>325035</v>
          </cell>
          <cell r="AG570">
            <v>0</v>
          </cell>
        </row>
        <row r="571">
          <cell r="B571" t="str">
            <v>1G62R02A</v>
          </cell>
          <cell r="H571">
            <v>7500</v>
          </cell>
          <cell r="AG571">
            <v>0</v>
          </cell>
        </row>
        <row r="572">
          <cell r="B572" t="str">
            <v>1G62R02A</v>
          </cell>
          <cell r="H572">
            <v>14140</v>
          </cell>
          <cell r="AG572">
            <v>0</v>
          </cell>
        </row>
        <row r="573">
          <cell r="B573" t="str">
            <v>1G62R02A</v>
          </cell>
          <cell r="H573">
            <v>31180</v>
          </cell>
          <cell r="AG573">
            <v>0</v>
          </cell>
        </row>
        <row r="574">
          <cell r="B574" t="str">
            <v>1G62R02A</v>
          </cell>
          <cell r="H574">
            <v>71100</v>
          </cell>
          <cell r="AG574">
            <v>0</v>
          </cell>
        </row>
        <row r="575">
          <cell r="B575" t="str">
            <v>1G62R02A</v>
          </cell>
          <cell r="H575">
            <v>122840</v>
          </cell>
          <cell r="AG575">
            <v>0</v>
          </cell>
        </row>
        <row r="576">
          <cell r="B576" t="str">
            <v>1G62R02A</v>
          </cell>
          <cell r="H576">
            <v>390960</v>
          </cell>
          <cell r="AG576">
            <v>0</v>
          </cell>
        </row>
        <row r="577">
          <cell r="B577" t="str">
            <v>1G62R02A</v>
          </cell>
          <cell r="H577">
            <v>283300</v>
          </cell>
          <cell r="AG577">
            <v>0</v>
          </cell>
        </row>
        <row r="578">
          <cell r="B578" t="str">
            <v>1G62R02A</v>
          </cell>
          <cell r="H578">
            <v>37500</v>
          </cell>
          <cell r="AG578">
            <v>0</v>
          </cell>
        </row>
        <row r="579">
          <cell r="B579" t="str">
            <v>1G62R02A</v>
          </cell>
          <cell r="H579">
            <v>99220</v>
          </cell>
          <cell r="AG579">
            <v>0</v>
          </cell>
        </row>
        <row r="580">
          <cell r="B580" t="str">
            <v>1G62R02A</v>
          </cell>
          <cell r="H580">
            <v>27380</v>
          </cell>
          <cell r="AG580">
            <v>0</v>
          </cell>
        </row>
        <row r="581">
          <cell r="B581" t="str">
            <v>1G16R01A</v>
          </cell>
          <cell r="H581">
            <v>402400</v>
          </cell>
          <cell r="AG581">
            <v>0</v>
          </cell>
        </row>
        <row r="582">
          <cell r="B582" t="str">
            <v>1G16R01A</v>
          </cell>
          <cell r="H582">
            <v>434300</v>
          </cell>
          <cell r="AG582">
            <v>0</v>
          </cell>
        </row>
        <row r="583">
          <cell r="B583" t="str">
            <v>1G11L32A</v>
          </cell>
          <cell r="H583">
            <v>454080</v>
          </cell>
          <cell r="AG583">
            <v>0</v>
          </cell>
        </row>
        <row r="584">
          <cell r="B584" t="str">
            <v>1G41R52A</v>
          </cell>
          <cell r="H584">
            <v>1931904</v>
          </cell>
          <cell r="AG584">
            <v>0</v>
          </cell>
        </row>
        <row r="585">
          <cell r="B585" t="str">
            <v>1G41R52A</v>
          </cell>
          <cell r="H585">
            <v>111750</v>
          </cell>
          <cell r="AG585">
            <v>0</v>
          </cell>
        </row>
        <row r="586">
          <cell r="B586" t="str">
            <v>1G11Q20A</v>
          </cell>
          <cell r="H586">
            <v>1071000</v>
          </cell>
          <cell r="AG586">
            <v>0</v>
          </cell>
        </row>
        <row r="587">
          <cell r="B587" t="str">
            <v>1G11A23A</v>
          </cell>
          <cell r="H587">
            <v>249900</v>
          </cell>
          <cell r="AG587">
            <v>0</v>
          </cell>
        </row>
        <row r="588">
          <cell r="B588" t="str">
            <v>1G11C22A</v>
          </cell>
          <cell r="H588">
            <v>1667700</v>
          </cell>
          <cell r="AG588">
            <v>0</v>
          </cell>
        </row>
        <row r="589">
          <cell r="B589" t="str">
            <v>1G11H42A</v>
          </cell>
          <cell r="H589">
            <v>14892850</v>
          </cell>
          <cell r="AG589">
            <v>0</v>
          </cell>
        </row>
        <row r="590">
          <cell r="B590" t="str">
            <v>1G11Q20A</v>
          </cell>
          <cell r="H590">
            <v>94500</v>
          </cell>
          <cell r="AG590">
            <v>0</v>
          </cell>
        </row>
        <row r="591">
          <cell r="B591" t="str">
            <v>1G11A23A</v>
          </cell>
          <cell r="H591">
            <v>22050</v>
          </cell>
          <cell r="AG591">
            <v>0</v>
          </cell>
        </row>
        <row r="592">
          <cell r="B592" t="str">
            <v>1G11C22A</v>
          </cell>
          <cell r="H592">
            <v>147150</v>
          </cell>
          <cell r="AG592">
            <v>0</v>
          </cell>
        </row>
        <row r="593">
          <cell r="B593" t="str">
            <v>1G11H42A</v>
          </cell>
          <cell r="H593">
            <v>1957200</v>
          </cell>
          <cell r="AG593">
            <v>0</v>
          </cell>
        </row>
        <row r="594">
          <cell r="B594" t="str">
            <v>1G11Q20A</v>
          </cell>
          <cell r="H594">
            <v>521460</v>
          </cell>
          <cell r="AG594">
            <v>0</v>
          </cell>
        </row>
        <row r="595">
          <cell r="B595" t="str">
            <v>1G11A23A</v>
          </cell>
          <cell r="H595">
            <v>121674</v>
          </cell>
          <cell r="AG595">
            <v>0</v>
          </cell>
        </row>
        <row r="596">
          <cell r="B596" t="str">
            <v>1G11C22A</v>
          </cell>
          <cell r="H596">
            <v>811987.71428571432</v>
          </cell>
          <cell r="AG596">
            <v>0</v>
          </cell>
        </row>
        <row r="597">
          <cell r="B597" t="str">
            <v>1G11H42A</v>
          </cell>
          <cell r="H597">
            <v>5214600</v>
          </cell>
          <cell r="AG597">
            <v>0</v>
          </cell>
        </row>
        <row r="598">
          <cell r="B598" t="str">
            <v>1G11Q20A</v>
          </cell>
          <cell r="H598">
            <v>162360</v>
          </cell>
          <cell r="AG598">
            <v>0</v>
          </cell>
        </row>
        <row r="599">
          <cell r="B599" t="str">
            <v>1G11A23A</v>
          </cell>
          <cell r="H599">
            <v>37884</v>
          </cell>
          <cell r="AG599">
            <v>0</v>
          </cell>
        </row>
        <row r="600">
          <cell r="B600" t="str">
            <v>1G11C22A</v>
          </cell>
          <cell r="H600">
            <v>252817.71428571429</v>
          </cell>
          <cell r="AG600">
            <v>0</v>
          </cell>
        </row>
        <row r="601">
          <cell r="B601" t="str">
            <v>1G11H42A</v>
          </cell>
          <cell r="H601">
            <v>3362656</v>
          </cell>
          <cell r="AG601">
            <v>0</v>
          </cell>
        </row>
        <row r="602">
          <cell r="B602" t="str">
            <v>1G61Q20A</v>
          </cell>
          <cell r="H602">
            <v>212760</v>
          </cell>
          <cell r="AG602">
            <v>0</v>
          </cell>
        </row>
        <row r="603">
          <cell r="B603" t="str">
            <v>1G61A23A</v>
          </cell>
          <cell r="H603">
            <v>49644</v>
          </cell>
          <cell r="AG603">
            <v>0</v>
          </cell>
        </row>
        <row r="604">
          <cell r="B604" t="str">
            <v>1G61C22A</v>
          </cell>
          <cell r="H604">
            <v>110432.57142857143</v>
          </cell>
          <cell r="AG604">
            <v>0</v>
          </cell>
        </row>
        <row r="605">
          <cell r="B605" t="str">
            <v>1G61H21A</v>
          </cell>
          <cell r="H605">
            <v>118200</v>
          </cell>
          <cell r="AG605">
            <v>0</v>
          </cell>
        </row>
        <row r="606">
          <cell r="B606" t="str">
            <v>1G61F09A</v>
          </cell>
          <cell r="H606">
            <v>76830</v>
          </cell>
          <cell r="AG606">
            <v>0</v>
          </cell>
        </row>
        <row r="607">
          <cell r="B607" t="str">
            <v>1G61Q22A</v>
          </cell>
          <cell r="H607">
            <v>17730</v>
          </cell>
          <cell r="AG607">
            <v>0</v>
          </cell>
        </row>
        <row r="608">
          <cell r="B608" t="str">
            <v>1G61F09A</v>
          </cell>
          <cell r="H608">
            <v>20685</v>
          </cell>
          <cell r="AG608">
            <v>0</v>
          </cell>
        </row>
        <row r="609">
          <cell r="B609" t="str">
            <v>1G61H97A</v>
          </cell>
          <cell r="H609">
            <v>626460</v>
          </cell>
          <cell r="AG609">
            <v>0</v>
          </cell>
        </row>
        <row r="610">
          <cell r="B610" t="str">
            <v>1G31F02A</v>
          </cell>
          <cell r="H610">
            <v>568990</v>
          </cell>
          <cell r="AG610">
            <v>0</v>
          </cell>
        </row>
        <row r="611">
          <cell r="B611" t="str">
            <v>1G31F09A</v>
          </cell>
          <cell r="H611">
            <v>435110</v>
          </cell>
          <cell r="AG611">
            <v>0</v>
          </cell>
        </row>
        <row r="612">
          <cell r="B612" t="str">
            <v>1G31A23A</v>
          </cell>
          <cell r="H612">
            <v>348088</v>
          </cell>
          <cell r="AG612">
            <v>0</v>
          </cell>
        </row>
        <row r="613">
          <cell r="B613" t="str">
            <v>1G31C24A</v>
          </cell>
          <cell r="H613">
            <v>975411.42857142841</v>
          </cell>
          <cell r="AG613">
            <v>0</v>
          </cell>
        </row>
        <row r="614">
          <cell r="B614" t="str">
            <v>1G31H22A</v>
          </cell>
          <cell r="H614">
            <v>669400</v>
          </cell>
          <cell r="AG614">
            <v>0</v>
          </cell>
        </row>
        <row r="615">
          <cell r="B615" t="str">
            <v>1G31H97A</v>
          </cell>
          <cell r="H615">
            <v>3547820</v>
          </cell>
          <cell r="AG615">
            <v>0</v>
          </cell>
        </row>
        <row r="616">
          <cell r="B616" t="str">
            <v>1G11Q20A</v>
          </cell>
          <cell r="H616">
            <v>1010520</v>
          </cell>
          <cell r="AG616">
            <v>0</v>
          </cell>
        </row>
        <row r="617">
          <cell r="B617" t="str">
            <v>1G11H21A</v>
          </cell>
          <cell r="H617">
            <v>561400</v>
          </cell>
          <cell r="AG617">
            <v>0</v>
          </cell>
        </row>
        <row r="618">
          <cell r="B618" t="str">
            <v>1G11H42A</v>
          </cell>
          <cell r="H618">
            <v>20928992</v>
          </cell>
          <cell r="AG618">
            <v>0</v>
          </cell>
        </row>
        <row r="619">
          <cell r="B619" t="str">
            <v>1G11Q20A</v>
          </cell>
          <cell r="H619">
            <v>163260</v>
          </cell>
          <cell r="AG619">
            <v>0</v>
          </cell>
        </row>
        <row r="620">
          <cell r="B620" t="str">
            <v>1G11H21A</v>
          </cell>
          <cell r="H620">
            <v>90700</v>
          </cell>
          <cell r="AG620">
            <v>0</v>
          </cell>
        </row>
        <row r="621">
          <cell r="B621" t="str">
            <v>1G11H42A</v>
          </cell>
          <cell r="H621">
            <v>3381296</v>
          </cell>
          <cell r="AG621">
            <v>0</v>
          </cell>
        </row>
        <row r="622">
          <cell r="B622" t="str">
            <v>1G31H97A</v>
          </cell>
          <cell r="H622">
            <v>171405</v>
          </cell>
          <cell r="AG622">
            <v>0</v>
          </cell>
        </row>
        <row r="623">
          <cell r="B623" t="str">
            <v>1G31R22A</v>
          </cell>
          <cell r="H623">
            <v>619480</v>
          </cell>
          <cell r="AG623">
            <v>0</v>
          </cell>
        </row>
        <row r="624">
          <cell r="B624" t="str">
            <v>1G61R01A</v>
          </cell>
          <cell r="H624">
            <v>1300000</v>
          </cell>
          <cell r="AG624">
            <v>0</v>
          </cell>
        </row>
        <row r="625">
          <cell r="B625" t="str">
            <v>1G11H42A</v>
          </cell>
          <cell r="H625">
            <v>260183</v>
          </cell>
          <cell r="AG625">
            <v>0</v>
          </cell>
        </row>
        <row r="626">
          <cell r="B626" t="str">
            <v>1G11H42A</v>
          </cell>
          <cell r="H626">
            <v>19792224</v>
          </cell>
          <cell r="AG626">
            <v>0</v>
          </cell>
        </row>
        <row r="627">
          <cell r="B627" t="str">
            <v>1G11H42A</v>
          </cell>
          <cell r="H627">
            <v>9939148</v>
          </cell>
          <cell r="AG627">
            <v>0</v>
          </cell>
        </row>
        <row r="628">
          <cell r="B628" t="str">
            <v>1G11H42A</v>
          </cell>
          <cell r="H628">
            <v>537752.4</v>
          </cell>
          <cell r="AG628">
            <v>0</v>
          </cell>
        </row>
        <row r="629">
          <cell r="B629" t="str">
            <v>1G11H42A</v>
          </cell>
          <cell r="H629">
            <v>877809</v>
          </cell>
          <cell r="AG629">
            <v>0</v>
          </cell>
        </row>
        <row r="630">
          <cell r="B630" t="str">
            <v>1G11H31A</v>
          </cell>
          <cell r="H630">
            <v>240092</v>
          </cell>
          <cell r="AG630">
            <v>0</v>
          </cell>
        </row>
        <row r="631">
          <cell r="B631" t="str">
            <v>1G11H31A</v>
          </cell>
          <cell r="H631">
            <v>1408188</v>
          </cell>
          <cell r="AG631">
            <v>0</v>
          </cell>
        </row>
        <row r="632">
          <cell r="B632" t="str">
            <v>1G11H31A</v>
          </cell>
          <cell r="H632">
            <v>387076.32</v>
          </cell>
          <cell r="AG632">
            <v>0</v>
          </cell>
        </row>
        <row r="633">
          <cell r="B633" t="str">
            <v>1G11H30A</v>
          </cell>
          <cell r="H633">
            <v>247229.1</v>
          </cell>
          <cell r="AG633">
            <v>0</v>
          </cell>
        </row>
        <row r="634">
          <cell r="B634" t="str">
            <v>1G11H31A</v>
          </cell>
          <cell r="H634">
            <v>491071.5</v>
          </cell>
          <cell r="AG634">
            <v>0</v>
          </cell>
        </row>
        <row r="635">
          <cell r="B635" t="str">
            <v>1G41R26A</v>
          </cell>
          <cell r="H635">
            <v>567871.57142857148</v>
          </cell>
          <cell r="AG635">
            <v>0</v>
          </cell>
        </row>
        <row r="636">
          <cell r="B636" t="str">
            <v>1G41R26A</v>
          </cell>
          <cell r="H636">
            <v>1763406.7857142857</v>
          </cell>
          <cell r="AG636">
            <v>0</v>
          </cell>
        </row>
        <row r="637">
          <cell r="B637" t="str">
            <v>1G41R26A</v>
          </cell>
          <cell r="H637">
            <v>2318085.7999999998</v>
          </cell>
          <cell r="AG637">
            <v>0</v>
          </cell>
        </row>
        <row r="638">
          <cell r="B638" t="str">
            <v>1G41R26A</v>
          </cell>
          <cell r="H638">
            <v>734832.5</v>
          </cell>
          <cell r="AG638">
            <v>0</v>
          </cell>
        </row>
        <row r="639">
          <cell r="B639" t="str">
            <v>1G41R26A</v>
          </cell>
          <cell r="H639">
            <v>4219864.666666666</v>
          </cell>
          <cell r="AG639">
            <v>0</v>
          </cell>
        </row>
        <row r="640">
          <cell r="B640" t="str">
            <v>1G41R24A</v>
          </cell>
          <cell r="H640">
            <v>118409.4</v>
          </cell>
          <cell r="AG640">
            <v>0</v>
          </cell>
        </row>
        <row r="641">
          <cell r="B641" t="str">
            <v>1G41R24A</v>
          </cell>
          <cell r="H641">
            <v>110662.85714285713</v>
          </cell>
          <cell r="AG641">
            <v>0</v>
          </cell>
        </row>
        <row r="642">
          <cell r="B642" t="str">
            <v>1G41R26A</v>
          </cell>
          <cell r="H642">
            <v>1964495.2428571428</v>
          </cell>
          <cell r="AG642">
            <v>0</v>
          </cell>
        </row>
        <row r="643">
          <cell r="B643" t="str">
            <v>1G41R27A</v>
          </cell>
          <cell r="H643">
            <v>141789.6</v>
          </cell>
          <cell r="AG643">
            <v>0</v>
          </cell>
        </row>
        <row r="644">
          <cell r="B644" t="str">
            <v>1G41R24A</v>
          </cell>
          <cell r="H644">
            <v>122000.57142857142</v>
          </cell>
          <cell r="AG644">
            <v>0</v>
          </cell>
        </row>
        <row r="645">
          <cell r="B645" t="str">
            <v>1G41R26A</v>
          </cell>
          <cell r="H645">
            <v>32665.5</v>
          </cell>
          <cell r="AG645">
            <v>0</v>
          </cell>
        </row>
        <row r="646">
          <cell r="B646" t="str">
            <v>1G41R26A</v>
          </cell>
          <cell r="H646">
            <v>145224.24</v>
          </cell>
          <cell r="AG646">
            <v>0</v>
          </cell>
        </row>
        <row r="647">
          <cell r="B647" t="str">
            <v>1G16R11A</v>
          </cell>
          <cell r="H647">
            <v>13000</v>
          </cell>
          <cell r="AG647">
            <v>0</v>
          </cell>
        </row>
        <row r="648">
          <cell r="B648" t="str">
            <v>1G16R11A</v>
          </cell>
          <cell r="H648">
            <v>13000</v>
          </cell>
          <cell r="AG648">
            <v>0</v>
          </cell>
        </row>
        <row r="649">
          <cell r="B649" t="str">
            <v>1G16P21A</v>
          </cell>
          <cell r="H649">
            <v>1226779.8400000001</v>
          </cell>
          <cell r="AG649">
            <v>0</v>
          </cell>
        </row>
        <row r="650">
          <cell r="B650" t="str">
            <v>1G16P21A</v>
          </cell>
          <cell r="H650">
            <v>482755.8</v>
          </cell>
          <cell r="AG650">
            <v>0</v>
          </cell>
        </row>
        <row r="651">
          <cell r="B651" t="str">
            <v>1G16P44A</v>
          </cell>
          <cell r="H651">
            <v>15600</v>
          </cell>
          <cell r="AG651">
            <v>0</v>
          </cell>
        </row>
        <row r="652">
          <cell r="B652" t="str">
            <v>1G16P50A</v>
          </cell>
          <cell r="H652">
            <v>4138200</v>
          </cell>
          <cell r="AG652">
            <v>0</v>
          </cell>
        </row>
        <row r="653">
          <cell r="B653" t="str">
            <v>1G16P50A</v>
          </cell>
          <cell r="H653">
            <v>2050100</v>
          </cell>
          <cell r="AG653">
            <v>0</v>
          </cell>
        </row>
        <row r="654">
          <cell r="B654" t="str">
            <v>1G16R32A</v>
          </cell>
          <cell r="H654">
            <v>219700</v>
          </cell>
          <cell r="AG654">
            <v>0</v>
          </cell>
        </row>
        <row r="655">
          <cell r="B655" t="str">
            <v>1G16R32A</v>
          </cell>
          <cell r="H655">
            <v>354900</v>
          </cell>
          <cell r="AG655">
            <v>0</v>
          </cell>
        </row>
        <row r="656">
          <cell r="B656" t="str">
            <v>1G16R32A</v>
          </cell>
          <cell r="H656">
            <v>278850</v>
          </cell>
          <cell r="AG656">
            <v>0</v>
          </cell>
        </row>
        <row r="657">
          <cell r="B657" t="str">
            <v>1G16R32A</v>
          </cell>
          <cell r="H657">
            <v>77740</v>
          </cell>
          <cell r="AG657">
            <v>0</v>
          </cell>
        </row>
        <row r="658">
          <cell r="B658" t="str">
            <v>1G16P22A</v>
          </cell>
          <cell r="H658">
            <v>1422473</v>
          </cell>
          <cell r="AG658">
            <v>0</v>
          </cell>
        </row>
        <row r="659">
          <cell r="B659" t="str">
            <v>1G62R02A</v>
          </cell>
          <cell r="H659">
            <v>9900</v>
          </cell>
          <cell r="AG659">
            <v>0</v>
          </cell>
        </row>
        <row r="660">
          <cell r="B660" t="str">
            <v>1G61R02A</v>
          </cell>
          <cell r="H660">
            <v>1626040</v>
          </cell>
          <cell r="AG660">
            <v>0</v>
          </cell>
        </row>
        <row r="661">
          <cell r="B661" t="str">
            <v>1G41R53A</v>
          </cell>
          <cell r="H661">
            <v>126000</v>
          </cell>
          <cell r="AG661">
            <v>0</v>
          </cell>
        </row>
        <row r="662">
          <cell r="B662" t="str">
            <v>1G41R53A</v>
          </cell>
          <cell r="H662">
            <v>12600</v>
          </cell>
          <cell r="AG662">
            <v>0</v>
          </cell>
        </row>
        <row r="663">
          <cell r="B663" t="str">
            <v>1G41R52A</v>
          </cell>
          <cell r="H663">
            <v>351036</v>
          </cell>
          <cell r="AG663">
            <v>0</v>
          </cell>
        </row>
        <row r="664">
          <cell r="B664" t="str">
            <v>1G41R52A</v>
          </cell>
          <cell r="H664">
            <v>317634</v>
          </cell>
          <cell r="AG664">
            <v>0</v>
          </cell>
        </row>
        <row r="665">
          <cell r="B665" t="str">
            <v>1G41R52A</v>
          </cell>
          <cell r="H665">
            <v>59724</v>
          </cell>
          <cell r="AG665">
            <v>0</v>
          </cell>
        </row>
        <row r="666">
          <cell r="B666" t="str">
            <v>1G41R52A</v>
          </cell>
          <cell r="H666">
            <v>18703</v>
          </cell>
          <cell r="AG666">
            <v>0</v>
          </cell>
        </row>
        <row r="667">
          <cell r="B667" t="str">
            <v>1D33M05A</v>
          </cell>
          <cell r="H667">
            <v>48776766</v>
          </cell>
          <cell r="AG667">
            <v>4839965</v>
          </cell>
        </row>
        <row r="668">
          <cell r="B668" t="str">
            <v>1D33N10E</v>
          </cell>
          <cell r="H668">
            <v>19132957.870000001</v>
          </cell>
          <cell r="AG668">
            <v>0</v>
          </cell>
        </row>
        <row r="669">
          <cell r="B669" t="str">
            <v>1D35N60A</v>
          </cell>
          <cell r="H669">
            <v>5389412</v>
          </cell>
          <cell r="AG669">
            <v>0</v>
          </cell>
        </row>
        <row r="670">
          <cell r="B670" t="str">
            <v>1D33M02A</v>
          </cell>
          <cell r="H670">
            <v>6169855.242474</v>
          </cell>
          <cell r="AG670">
            <v>0</v>
          </cell>
        </row>
        <row r="671">
          <cell r="B671" t="str">
            <v>1D33M09A</v>
          </cell>
          <cell r="H671">
            <v>3539211.9</v>
          </cell>
          <cell r="AG671">
            <v>0</v>
          </cell>
        </row>
        <row r="672">
          <cell r="B672" t="str">
            <v>1D33M08A</v>
          </cell>
          <cell r="H672">
            <v>1921286.46</v>
          </cell>
          <cell r="AG672">
            <v>0</v>
          </cell>
        </row>
        <row r="673">
          <cell r="B673" t="str">
            <v>1D33H71E</v>
          </cell>
          <cell r="H673">
            <v>236621.59559999994</v>
          </cell>
          <cell r="AG673">
            <v>0</v>
          </cell>
        </row>
        <row r="674">
          <cell r="B674" t="str">
            <v>1D33H76E</v>
          </cell>
          <cell r="H674">
            <v>97075.526400000046</v>
          </cell>
          <cell r="AG674">
            <v>0</v>
          </cell>
        </row>
        <row r="675">
          <cell r="B675" t="str">
            <v>1E53M25A</v>
          </cell>
          <cell r="H675">
            <v>30037932</v>
          </cell>
          <cell r="AG675">
            <v>0</v>
          </cell>
        </row>
        <row r="676">
          <cell r="B676" t="str">
            <v>1E53N10A</v>
          </cell>
          <cell r="H676">
            <v>192654</v>
          </cell>
          <cell r="AG676">
            <v>0</v>
          </cell>
        </row>
        <row r="677">
          <cell r="B677" t="str">
            <v>1E55N60A</v>
          </cell>
          <cell r="H677">
            <v>2130162</v>
          </cell>
          <cell r="AG677">
            <v>0</v>
          </cell>
        </row>
        <row r="678">
          <cell r="B678" t="str">
            <v>1E53M22A</v>
          </cell>
          <cell r="H678">
            <v>0</v>
          </cell>
          <cell r="AG678">
            <v>0</v>
          </cell>
        </row>
        <row r="679">
          <cell r="B679" t="str">
            <v>1E53M28A</v>
          </cell>
          <cell r="H679">
            <v>0</v>
          </cell>
          <cell r="AG679">
            <v>0</v>
          </cell>
        </row>
        <row r="680">
          <cell r="B680" t="str">
            <v>1E53M28A</v>
          </cell>
          <cell r="H680">
            <v>1002664.2</v>
          </cell>
          <cell r="AG680">
            <v>0</v>
          </cell>
        </row>
        <row r="681">
          <cell r="B681" t="str">
            <v>1E53H71E</v>
          </cell>
          <cell r="H681">
            <v>123486.01199999999</v>
          </cell>
          <cell r="AG681">
            <v>0</v>
          </cell>
        </row>
        <row r="682">
          <cell r="B682" t="str">
            <v>1E53H76E</v>
          </cell>
          <cell r="H682">
            <v>50660.927999999993</v>
          </cell>
          <cell r="AG682">
            <v>0</v>
          </cell>
        </row>
        <row r="683">
          <cell r="B683" t="str">
            <v>1E53M33A</v>
          </cell>
          <cell r="H683">
            <v>20656800</v>
          </cell>
          <cell r="AG683">
            <v>0</v>
          </cell>
        </row>
        <row r="684">
          <cell r="B684" t="str">
            <v>1E53N10A</v>
          </cell>
          <cell r="H684">
            <v>0</v>
          </cell>
          <cell r="AG684">
            <v>0</v>
          </cell>
        </row>
        <row r="685">
          <cell r="B685" t="str">
            <v>1E55N60A</v>
          </cell>
          <cell r="H685">
            <v>1954148</v>
          </cell>
          <cell r="AG685">
            <v>0</v>
          </cell>
        </row>
        <row r="686">
          <cell r="B686" t="str">
            <v>1E53M33A</v>
          </cell>
          <cell r="H686">
            <v>0</v>
          </cell>
          <cell r="AG686">
            <v>0</v>
          </cell>
        </row>
        <row r="687">
          <cell r="B687" t="str">
            <v>1E53M33A</v>
          </cell>
          <cell r="H687">
            <v>0</v>
          </cell>
          <cell r="AG687">
            <v>0</v>
          </cell>
        </row>
        <row r="688">
          <cell r="B688" t="str">
            <v>1E53M36A</v>
          </cell>
          <cell r="H688">
            <v>239960.5</v>
          </cell>
          <cell r="AG688">
            <v>0</v>
          </cell>
        </row>
        <row r="689">
          <cell r="B689" t="str">
            <v>1E53H71E</v>
          </cell>
          <cell r="H689">
            <v>29553.03</v>
          </cell>
          <cell r="AG689">
            <v>0</v>
          </cell>
        </row>
        <row r="690">
          <cell r="B690" t="str">
            <v>1E53H76E</v>
          </cell>
          <cell r="H690">
            <v>12124.32</v>
          </cell>
          <cell r="AG690">
            <v>0</v>
          </cell>
        </row>
        <row r="691">
          <cell r="B691" t="str">
            <v>1E53M41A</v>
          </cell>
          <cell r="H691">
            <v>12217600</v>
          </cell>
          <cell r="AG691">
            <v>0</v>
          </cell>
        </row>
        <row r="692">
          <cell r="B692" t="str">
            <v>1E53N10A</v>
          </cell>
          <cell r="H692">
            <v>140700</v>
          </cell>
          <cell r="AG692">
            <v>0</v>
          </cell>
        </row>
        <row r="693">
          <cell r="B693" t="str">
            <v>1E55N60A</v>
          </cell>
          <cell r="H693">
            <v>1076838</v>
          </cell>
          <cell r="AG693">
            <v>0</v>
          </cell>
        </row>
        <row r="694">
          <cell r="B694" t="str">
            <v>1E53M41A</v>
          </cell>
          <cell r="H694">
            <v>0</v>
          </cell>
          <cell r="AG694">
            <v>0</v>
          </cell>
        </row>
        <row r="695">
          <cell r="B695" t="str">
            <v>1E53M47A</v>
          </cell>
          <cell r="H695">
            <v>0</v>
          </cell>
          <cell r="AG695">
            <v>0</v>
          </cell>
        </row>
        <row r="696">
          <cell r="B696" t="str">
            <v>1E53M47A</v>
          </cell>
          <cell r="H696">
            <v>161752.70000000001</v>
          </cell>
          <cell r="AG696">
            <v>0</v>
          </cell>
        </row>
        <row r="697">
          <cell r="B697" t="str">
            <v>1E53H71E</v>
          </cell>
          <cell r="H697">
            <v>19921.121999999999</v>
          </cell>
          <cell r="AG697">
            <v>0</v>
          </cell>
        </row>
        <row r="698">
          <cell r="B698" t="str">
            <v>1E53H76E</v>
          </cell>
          <cell r="H698">
            <v>8172.7679999999991</v>
          </cell>
          <cell r="AG698">
            <v>0</v>
          </cell>
        </row>
        <row r="699">
          <cell r="B699" t="str">
            <v>1E53M51A</v>
          </cell>
          <cell r="H699">
            <v>3518809</v>
          </cell>
          <cell r="AG699">
            <v>0</v>
          </cell>
        </row>
        <row r="700">
          <cell r="B700" t="str">
            <v>1E55N60A</v>
          </cell>
          <cell r="H700">
            <v>0</v>
          </cell>
          <cell r="AG700">
            <v>0</v>
          </cell>
        </row>
        <row r="701">
          <cell r="B701" t="str">
            <v>1E53M61A</v>
          </cell>
          <cell r="H701">
            <v>24688.6</v>
          </cell>
          <cell r="AG701">
            <v>0</v>
          </cell>
        </row>
        <row r="702">
          <cell r="B702" t="str">
            <v>1E53N71E</v>
          </cell>
          <cell r="H702">
            <v>3040.596</v>
          </cell>
          <cell r="AG702">
            <v>0</v>
          </cell>
        </row>
        <row r="703">
          <cell r="B703" t="str">
            <v>1E53N76E</v>
          </cell>
          <cell r="H703">
            <v>1247.424</v>
          </cell>
          <cell r="AG703">
            <v>0</v>
          </cell>
        </row>
        <row r="704">
          <cell r="B704" t="str">
            <v>1F12000E</v>
          </cell>
          <cell r="H704">
            <v>8160000</v>
          </cell>
          <cell r="AG704">
            <v>0</v>
          </cell>
        </row>
        <row r="705">
          <cell r="B705" t="str">
            <v>1F12000E</v>
          </cell>
          <cell r="H705">
            <v>3960000</v>
          </cell>
          <cell r="AG705">
            <v>0</v>
          </cell>
        </row>
        <row r="706">
          <cell r="B706" t="str">
            <v>1F12000E</v>
          </cell>
          <cell r="H706">
            <v>3600000</v>
          </cell>
          <cell r="AG706">
            <v>0</v>
          </cell>
        </row>
        <row r="707">
          <cell r="B707" t="str">
            <v>1F12000E</v>
          </cell>
          <cell r="H707">
            <v>1170000</v>
          </cell>
          <cell r="AG707">
            <v>0</v>
          </cell>
        </row>
        <row r="708">
          <cell r="B708" t="str">
            <v>1F12000E</v>
          </cell>
          <cell r="H708">
            <v>1140000</v>
          </cell>
          <cell r="AG708">
            <v>0</v>
          </cell>
        </row>
        <row r="709">
          <cell r="B709" t="str">
            <v>1F12000E</v>
          </cell>
          <cell r="H709">
            <v>1170000</v>
          </cell>
          <cell r="AG709">
            <v>0</v>
          </cell>
        </row>
        <row r="710">
          <cell r="B710" t="str">
            <v>1F12000E</v>
          </cell>
          <cell r="H710">
            <v>1110000</v>
          </cell>
          <cell r="AG710">
            <v>0</v>
          </cell>
        </row>
        <row r="711">
          <cell r="B711" t="str">
            <v>1F12000E</v>
          </cell>
          <cell r="H711">
            <v>1110000</v>
          </cell>
          <cell r="AG711">
            <v>0</v>
          </cell>
        </row>
        <row r="712">
          <cell r="B712" t="str">
            <v>1F12000E</v>
          </cell>
          <cell r="H712">
            <v>1080000</v>
          </cell>
          <cell r="AG712">
            <v>0</v>
          </cell>
        </row>
        <row r="713">
          <cell r="B713" t="str">
            <v>1F12000E</v>
          </cell>
          <cell r="H713">
            <v>5250000</v>
          </cell>
          <cell r="AG713">
            <v>0</v>
          </cell>
        </row>
        <row r="714">
          <cell r="B714" t="str">
            <v>1F12000E</v>
          </cell>
          <cell r="H714">
            <v>1020000</v>
          </cell>
          <cell r="AG714">
            <v>0</v>
          </cell>
        </row>
        <row r="715">
          <cell r="B715" t="str">
            <v>1F12000E</v>
          </cell>
          <cell r="H715">
            <v>1050000</v>
          </cell>
          <cell r="AG715">
            <v>0</v>
          </cell>
        </row>
        <row r="716">
          <cell r="B716" t="str">
            <v>1F12000E</v>
          </cell>
          <cell r="H716">
            <v>1920000</v>
          </cell>
          <cell r="AG716">
            <v>0</v>
          </cell>
        </row>
        <row r="717">
          <cell r="B717" t="str">
            <v>1F12000E</v>
          </cell>
          <cell r="H717">
            <v>1860000</v>
          </cell>
          <cell r="AG717">
            <v>0</v>
          </cell>
        </row>
        <row r="718">
          <cell r="B718" t="str">
            <v>1F12000E</v>
          </cell>
          <cell r="H718">
            <v>2400000</v>
          </cell>
          <cell r="AG718">
            <v>0</v>
          </cell>
        </row>
        <row r="719">
          <cell r="B719" t="str">
            <v>1F12000E</v>
          </cell>
          <cell r="H719">
            <v>2340000</v>
          </cell>
          <cell r="AG719">
            <v>0</v>
          </cell>
        </row>
        <row r="720">
          <cell r="B720" t="str">
            <v>1F12000E</v>
          </cell>
          <cell r="H720">
            <v>2280000</v>
          </cell>
          <cell r="AG720">
            <v>0</v>
          </cell>
        </row>
        <row r="721">
          <cell r="B721" t="str">
            <v>1F12000E</v>
          </cell>
          <cell r="H721">
            <v>5600000</v>
          </cell>
          <cell r="AG721">
            <v>0</v>
          </cell>
        </row>
        <row r="722">
          <cell r="B722" t="str">
            <v>1F12000E</v>
          </cell>
          <cell r="H722">
            <v>2160000</v>
          </cell>
          <cell r="AG722">
            <v>0</v>
          </cell>
        </row>
        <row r="723">
          <cell r="B723" t="str">
            <v>1F12000E</v>
          </cell>
          <cell r="H723">
            <v>1920000</v>
          </cell>
          <cell r="AG723">
            <v>0</v>
          </cell>
        </row>
        <row r="724">
          <cell r="B724" t="str">
            <v>1F12000E</v>
          </cell>
          <cell r="H724">
            <v>2040000</v>
          </cell>
          <cell r="AG724">
            <v>0</v>
          </cell>
        </row>
        <row r="725">
          <cell r="B725" t="str">
            <v>1F12000E</v>
          </cell>
          <cell r="H725">
            <v>5760000</v>
          </cell>
          <cell r="AG725">
            <v>0</v>
          </cell>
        </row>
        <row r="726">
          <cell r="B726" t="str">
            <v>1J00R59A</v>
          </cell>
          <cell r="H726">
            <v>5400</v>
          </cell>
          <cell r="AG726">
            <v>0</v>
          </cell>
        </row>
        <row r="727">
          <cell r="B727" t="str">
            <v>1J00R59A</v>
          </cell>
          <cell r="H727">
            <v>21000</v>
          </cell>
          <cell r="AG727">
            <v>0</v>
          </cell>
        </row>
        <row r="728">
          <cell r="B728" t="str">
            <v>1J00R59A</v>
          </cell>
          <cell r="H728">
            <v>150000</v>
          </cell>
          <cell r="AG728">
            <v>0</v>
          </cell>
        </row>
        <row r="729">
          <cell r="B729" t="str">
            <v>1J00R59A</v>
          </cell>
          <cell r="H729">
            <v>32500</v>
          </cell>
          <cell r="AG729">
            <v>0</v>
          </cell>
        </row>
        <row r="730">
          <cell r="B730" t="str">
            <v>1J00R59A</v>
          </cell>
          <cell r="H730">
            <v>70000</v>
          </cell>
          <cell r="AG730">
            <v>0</v>
          </cell>
        </row>
        <row r="731">
          <cell r="B731" t="str">
            <v>1J00R59A</v>
          </cell>
          <cell r="H731">
            <v>9000</v>
          </cell>
          <cell r="AG731">
            <v>0</v>
          </cell>
        </row>
        <row r="732">
          <cell r="B732" t="str">
            <v>1J00R59A</v>
          </cell>
          <cell r="H732">
            <v>16500</v>
          </cell>
          <cell r="AG732">
            <v>0</v>
          </cell>
        </row>
        <row r="733">
          <cell r="B733" t="str">
            <v>1J00R59A</v>
          </cell>
          <cell r="H733">
            <v>22500</v>
          </cell>
          <cell r="AG733">
            <v>0</v>
          </cell>
        </row>
        <row r="734">
          <cell r="B734" t="str">
            <v>1J00R59A</v>
          </cell>
          <cell r="H734">
            <v>149800</v>
          </cell>
          <cell r="AG734">
            <v>0</v>
          </cell>
        </row>
        <row r="735">
          <cell r="B735" t="str">
            <v>1J00I25A</v>
          </cell>
          <cell r="H735">
            <v>269150</v>
          </cell>
          <cell r="AG735">
            <v>0</v>
          </cell>
        </row>
        <row r="736">
          <cell r="B736" t="str">
            <v>1J00I25A</v>
          </cell>
          <cell r="H736">
            <v>198100</v>
          </cell>
          <cell r="AG736">
            <v>0</v>
          </cell>
        </row>
        <row r="737">
          <cell r="B737" t="str">
            <v>1J00I25A</v>
          </cell>
          <cell r="H737">
            <v>185850</v>
          </cell>
          <cell r="AG737">
            <v>0</v>
          </cell>
        </row>
        <row r="738">
          <cell r="B738" t="str">
            <v>1J00I21A</v>
          </cell>
          <cell r="H738">
            <v>16296</v>
          </cell>
          <cell r="AG738">
            <v>0</v>
          </cell>
        </row>
        <row r="739">
          <cell r="B739" t="str">
            <v>1J00I21A</v>
          </cell>
          <cell r="H739">
            <v>77250</v>
          </cell>
          <cell r="AG739">
            <v>0</v>
          </cell>
        </row>
        <row r="740">
          <cell r="B740" t="str">
            <v>1J00I21A</v>
          </cell>
          <cell r="H740">
            <v>58500</v>
          </cell>
          <cell r="AG740">
            <v>0</v>
          </cell>
        </row>
        <row r="741">
          <cell r="B741" t="str">
            <v>1J00I21A</v>
          </cell>
          <cell r="H741">
            <v>16500</v>
          </cell>
          <cell r="AG741">
            <v>0</v>
          </cell>
        </row>
        <row r="742">
          <cell r="B742" t="str">
            <v>1J00R28A</v>
          </cell>
          <cell r="H742">
            <v>55055.71428571429</v>
          </cell>
          <cell r="AG742">
            <v>0</v>
          </cell>
        </row>
        <row r="743">
          <cell r="B743" t="str">
            <v>1J00R59A</v>
          </cell>
          <cell r="H743">
            <v>119205.6</v>
          </cell>
          <cell r="AG743">
            <v>0</v>
          </cell>
        </row>
        <row r="744">
          <cell r="H744" t="str">
            <v>總合計</v>
          </cell>
          <cell r="AG744">
            <v>732083292</v>
          </cell>
        </row>
        <row r="745">
          <cell r="H745" t="str">
            <v>單月成本</v>
          </cell>
          <cell r="AG745">
            <v>732083292</v>
          </cell>
        </row>
        <row r="746">
          <cell r="H746" t="str">
            <v>差異金額</v>
          </cell>
          <cell r="AG746">
            <v>0</v>
          </cell>
        </row>
      </sheetData>
      <sheetData sheetId="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銷明細"/>
      <sheetName val="預算編號及計算"/>
      <sheetName val="成本月報"/>
      <sheetName val="成本總表"/>
      <sheetName val="總計"/>
    </sheetNames>
    <sheetDataSet>
      <sheetData sheetId="0">
        <row r="1">
          <cell r="F1" t="str">
            <v>成本金額</v>
          </cell>
          <cell r="H1" t="str">
            <v>預算編號</v>
          </cell>
        </row>
        <row r="2">
          <cell r="F2">
            <v>381914</v>
          </cell>
          <cell r="H2" t="str">
            <v>B-3</v>
          </cell>
        </row>
        <row r="3">
          <cell r="F3">
            <v>4500</v>
          </cell>
          <cell r="H3" t="str">
            <v>B-1</v>
          </cell>
        </row>
        <row r="4">
          <cell r="F4">
            <v>76</v>
          </cell>
          <cell r="H4" t="str">
            <v>B-7</v>
          </cell>
        </row>
        <row r="5">
          <cell r="F5">
            <v>930</v>
          </cell>
          <cell r="H5" t="str">
            <v>B-2</v>
          </cell>
        </row>
        <row r="6">
          <cell r="F6">
            <v>2500</v>
          </cell>
          <cell r="H6" t="str">
            <v>DR210</v>
          </cell>
        </row>
        <row r="7">
          <cell r="F7">
            <v>49600</v>
          </cell>
          <cell r="H7" t="str">
            <v>B-1</v>
          </cell>
        </row>
        <row r="8">
          <cell r="F8">
            <v>10816</v>
          </cell>
          <cell r="H8" t="str">
            <v>B-3</v>
          </cell>
        </row>
        <row r="9">
          <cell r="F9">
            <v>20654</v>
          </cell>
          <cell r="H9" t="str">
            <v>DR215</v>
          </cell>
        </row>
        <row r="10">
          <cell r="F10">
            <v>134400</v>
          </cell>
          <cell r="H10" t="str">
            <v>B-3</v>
          </cell>
        </row>
        <row r="11">
          <cell r="F11">
            <v>550</v>
          </cell>
          <cell r="H11" t="str">
            <v>B211</v>
          </cell>
        </row>
        <row r="12">
          <cell r="F12">
            <v>29299</v>
          </cell>
          <cell r="H12" t="str">
            <v>B209</v>
          </cell>
        </row>
        <row r="13">
          <cell r="F13">
            <v>3000</v>
          </cell>
          <cell r="H13" t="str">
            <v>B203</v>
          </cell>
        </row>
        <row r="14">
          <cell r="F14">
            <v>3500</v>
          </cell>
          <cell r="H14" t="str">
            <v>B-1</v>
          </cell>
        </row>
        <row r="15">
          <cell r="F15">
            <v>1000</v>
          </cell>
          <cell r="H15" t="str">
            <v>B-12</v>
          </cell>
        </row>
        <row r="16">
          <cell r="F16">
            <v>1200</v>
          </cell>
          <cell r="H16" t="str">
            <v>B-14</v>
          </cell>
        </row>
        <row r="17">
          <cell r="F17">
            <v>4000</v>
          </cell>
          <cell r="H17" t="str">
            <v>B-3</v>
          </cell>
        </row>
        <row r="18">
          <cell r="F18">
            <v>500</v>
          </cell>
          <cell r="H18" t="str">
            <v>B-2</v>
          </cell>
        </row>
        <row r="19">
          <cell r="F19">
            <v>1200</v>
          </cell>
          <cell r="H19" t="str">
            <v>B-9-1</v>
          </cell>
        </row>
        <row r="20">
          <cell r="F20">
            <v>200</v>
          </cell>
          <cell r="H20" t="str">
            <v>B-9-2</v>
          </cell>
        </row>
        <row r="21">
          <cell r="F21">
            <v>1200</v>
          </cell>
          <cell r="H21" t="str">
            <v>B-9-3</v>
          </cell>
        </row>
        <row r="22">
          <cell r="F22">
            <v>1200</v>
          </cell>
          <cell r="H22" t="str">
            <v>B-9-5</v>
          </cell>
        </row>
        <row r="23">
          <cell r="F23">
            <v>20500</v>
          </cell>
          <cell r="H23" t="str">
            <v>ID301</v>
          </cell>
        </row>
        <row r="24">
          <cell r="F24">
            <v>457</v>
          </cell>
          <cell r="H24" t="str">
            <v>B203</v>
          </cell>
        </row>
        <row r="25">
          <cell r="F25">
            <v>3810</v>
          </cell>
          <cell r="H25" t="str">
            <v>B201</v>
          </cell>
        </row>
        <row r="26">
          <cell r="F26">
            <v>286</v>
          </cell>
          <cell r="H26" t="str">
            <v>B201</v>
          </cell>
        </row>
        <row r="27">
          <cell r="F27">
            <v>5038</v>
          </cell>
          <cell r="H27" t="str">
            <v>B201</v>
          </cell>
        </row>
        <row r="28">
          <cell r="F28">
            <v>5381</v>
          </cell>
          <cell r="H28" t="str">
            <v>B210</v>
          </cell>
        </row>
        <row r="29">
          <cell r="F29">
            <v>18100</v>
          </cell>
          <cell r="H29" t="str">
            <v>B210</v>
          </cell>
        </row>
        <row r="30">
          <cell r="F30">
            <v>5714</v>
          </cell>
          <cell r="H30" t="str">
            <v>B201</v>
          </cell>
        </row>
        <row r="31">
          <cell r="F31">
            <v>10350</v>
          </cell>
          <cell r="H31" t="str">
            <v>B209</v>
          </cell>
        </row>
        <row r="32">
          <cell r="F32">
            <v>33850</v>
          </cell>
          <cell r="H32" t="str">
            <v>B210</v>
          </cell>
        </row>
        <row r="33">
          <cell r="F33">
            <v>24100</v>
          </cell>
          <cell r="H33" t="str">
            <v>B-1</v>
          </cell>
        </row>
        <row r="34">
          <cell r="F34">
            <v>44991</v>
          </cell>
          <cell r="H34" t="str">
            <v>B-3</v>
          </cell>
        </row>
        <row r="35">
          <cell r="F35">
            <v>7835</v>
          </cell>
          <cell r="H35" t="str">
            <v>B-5</v>
          </cell>
        </row>
        <row r="36">
          <cell r="F36">
            <v>9050</v>
          </cell>
          <cell r="H36" t="str">
            <v>B-4</v>
          </cell>
        </row>
        <row r="37">
          <cell r="F37">
            <v>12468</v>
          </cell>
          <cell r="H37" t="str">
            <v>B-9-1</v>
          </cell>
        </row>
        <row r="38">
          <cell r="F38">
            <v>15525</v>
          </cell>
          <cell r="H38" t="str">
            <v>B-9-4</v>
          </cell>
        </row>
        <row r="39">
          <cell r="F39">
            <v>17173</v>
          </cell>
          <cell r="H39" t="str">
            <v>B-9-5</v>
          </cell>
        </row>
        <row r="40">
          <cell r="F40">
            <v>24807</v>
          </cell>
          <cell r="H40" t="str">
            <v>B-3</v>
          </cell>
        </row>
        <row r="41">
          <cell r="F41">
            <v>12701</v>
          </cell>
          <cell r="H41" t="str">
            <v>B-9-1</v>
          </cell>
        </row>
        <row r="42">
          <cell r="F42">
            <v>4698</v>
          </cell>
          <cell r="H42" t="str">
            <v>B-9-4</v>
          </cell>
        </row>
        <row r="43">
          <cell r="F43">
            <v>3100</v>
          </cell>
          <cell r="H43" t="str">
            <v>B-9-5</v>
          </cell>
        </row>
        <row r="44">
          <cell r="F44">
            <v>5431</v>
          </cell>
          <cell r="H44" t="str">
            <v>B-12</v>
          </cell>
        </row>
        <row r="45">
          <cell r="F45">
            <v>10000</v>
          </cell>
          <cell r="H45" t="str">
            <v>B-1</v>
          </cell>
        </row>
        <row r="46">
          <cell r="F46">
            <v>12300</v>
          </cell>
          <cell r="H46" t="str">
            <v>B-3</v>
          </cell>
        </row>
        <row r="47">
          <cell r="F47">
            <v>2000</v>
          </cell>
          <cell r="H47" t="str">
            <v>B-9-5</v>
          </cell>
        </row>
        <row r="48">
          <cell r="F48">
            <v>2700</v>
          </cell>
          <cell r="H48" t="str">
            <v>B-9-1</v>
          </cell>
        </row>
        <row r="49">
          <cell r="F49">
            <v>3000</v>
          </cell>
          <cell r="H49" t="str">
            <v>B-2</v>
          </cell>
        </row>
        <row r="50">
          <cell r="F50">
            <v>16360</v>
          </cell>
          <cell r="H50" t="str">
            <v>B-9-1</v>
          </cell>
        </row>
        <row r="51">
          <cell r="F51">
            <v>16360</v>
          </cell>
          <cell r="H51" t="str">
            <v>B-9-4</v>
          </cell>
        </row>
        <row r="52">
          <cell r="F52">
            <v>16360</v>
          </cell>
          <cell r="H52" t="str">
            <v>B-9-5</v>
          </cell>
        </row>
        <row r="53">
          <cell r="F53">
            <v>600</v>
          </cell>
          <cell r="H53" t="str">
            <v>3A-7</v>
          </cell>
        </row>
        <row r="54">
          <cell r="F54">
            <v>4470</v>
          </cell>
          <cell r="H54" t="str">
            <v>B-9-2</v>
          </cell>
        </row>
        <row r="55">
          <cell r="F55">
            <v>4470</v>
          </cell>
          <cell r="H55" t="str">
            <v>B-9-3</v>
          </cell>
        </row>
        <row r="56">
          <cell r="F56">
            <v>2500</v>
          </cell>
          <cell r="H56" t="str">
            <v>DR210</v>
          </cell>
        </row>
        <row r="57">
          <cell r="F57">
            <v>3500</v>
          </cell>
          <cell r="H57" t="str">
            <v>DR210</v>
          </cell>
        </row>
        <row r="58">
          <cell r="F58">
            <v>22840</v>
          </cell>
          <cell r="H58" t="str">
            <v>B-3</v>
          </cell>
        </row>
        <row r="59">
          <cell r="F59">
            <v>38220</v>
          </cell>
          <cell r="H59" t="str">
            <v>DR218</v>
          </cell>
        </row>
        <row r="60">
          <cell r="F60">
            <v>62000</v>
          </cell>
          <cell r="H60" t="str">
            <v>B-3</v>
          </cell>
        </row>
        <row r="61">
          <cell r="F61">
            <v>18700</v>
          </cell>
          <cell r="H61" t="str">
            <v>B-1</v>
          </cell>
        </row>
        <row r="62">
          <cell r="F62">
            <v>18700</v>
          </cell>
          <cell r="H62" t="str">
            <v>B-3</v>
          </cell>
        </row>
        <row r="63">
          <cell r="F63">
            <v>18700</v>
          </cell>
          <cell r="H63" t="str">
            <v>B-2</v>
          </cell>
        </row>
        <row r="64">
          <cell r="F64">
            <v>251370</v>
          </cell>
          <cell r="H64" t="str">
            <v>B-26</v>
          </cell>
        </row>
        <row r="65">
          <cell r="F65">
            <v>99180</v>
          </cell>
          <cell r="H65" t="str">
            <v>B-28</v>
          </cell>
        </row>
        <row r="66">
          <cell r="F66">
            <v>127110</v>
          </cell>
          <cell r="H66" t="str">
            <v>B-29</v>
          </cell>
        </row>
        <row r="67">
          <cell r="F67">
            <v>39140</v>
          </cell>
          <cell r="H67" t="str">
            <v>B-30</v>
          </cell>
        </row>
        <row r="68">
          <cell r="F68">
            <v>247380</v>
          </cell>
          <cell r="H68" t="str">
            <v>B-31</v>
          </cell>
        </row>
        <row r="69">
          <cell r="F69">
            <v>247760</v>
          </cell>
          <cell r="H69" t="str">
            <v>B-32</v>
          </cell>
        </row>
        <row r="70">
          <cell r="F70">
            <v>195510</v>
          </cell>
          <cell r="H70" t="str">
            <v>B-34</v>
          </cell>
        </row>
        <row r="71">
          <cell r="F71">
            <v>63460</v>
          </cell>
          <cell r="H71" t="str">
            <v>B-35</v>
          </cell>
        </row>
        <row r="72">
          <cell r="F72">
            <v>175560</v>
          </cell>
          <cell r="H72" t="str">
            <v>B-36</v>
          </cell>
        </row>
        <row r="73">
          <cell r="F73">
            <v>509580</v>
          </cell>
          <cell r="H73" t="str">
            <v>B-37</v>
          </cell>
        </row>
        <row r="74">
          <cell r="F74">
            <v>202920</v>
          </cell>
          <cell r="H74" t="str">
            <v>B-38</v>
          </cell>
        </row>
        <row r="75">
          <cell r="F75">
            <v>102153</v>
          </cell>
          <cell r="H75" t="str">
            <v>B-12</v>
          </cell>
        </row>
        <row r="76">
          <cell r="F76">
            <v>3081200</v>
          </cell>
          <cell r="H76" t="str">
            <v>B-12</v>
          </cell>
        </row>
        <row r="77">
          <cell r="F77">
            <v>143250</v>
          </cell>
          <cell r="H77" t="str">
            <v>B-42</v>
          </cell>
        </row>
        <row r="78">
          <cell r="F78">
            <v>442800</v>
          </cell>
          <cell r="H78" t="str">
            <v>B-42</v>
          </cell>
        </row>
        <row r="79">
          <cell r="F79">
            <v>13388</v>
          </cell>
          <cell r="H79" t="str">
            <v>B-42</v>
          </cell>
        </row>
        <row r="80">
          <cell r="F80">
            <v>475</v>
          </cell>
          <cell r="H80" t="str">
            <v>B-7</v>
          </cell>
        </row>
        <row r="81">
          <cell r="F81">
            <v>5143</v>
          </cell>
          <cell r="H81" t="str">
            <v>B-3</v>
          </cell>
        </row>
        <row r="82">
          <cell r="F82">
            <v>22000</v>
          </cell>
          <cell r="H82" t="str">
            <v>DR210</v>
          </cell>
        </row>
        <row r="83">
          <cell r="F83">
            <v>76440</v>
          </cell>
          <cell r="H83" t="str">
            <v>B-12</v>
          </cell>
        </row>
        <row r="84">
          <cell r="F84">
            <v>1050</v>
          </cell>
          <cell r="H84" t="str">
            <v>A-3</v>
          </cell>
        </row>
        <row r="85">
          <cell r="F85">
            <v>116</v>
          </cell>
          <cell r="H85" t="str">
            <v>A-3</v>
          </cell>
        </row>
        <row r="86">
          <cell r="F86">
            <v>4381</v>
          </cell>
          <cell r="H86" t="str">
            <v>B-3</v>
          </cell>
        </row>
        <row r="87">
          <cell r="F87">
            <v>1429</v>
          </cell>
          <cell r="H87" t="str">
            <v>B109</v>
          </cell>
        </row>
        <row r="88">
          <cell r="F88">
            <v>900</v>
          </cell>
          <cell r="H88" t="str">
            <v>B211</v>
          </cell>
        </row>
        <row r="89">
          <cell r="F89">
            <v>750</v>
          </cell>
          <cell r="H89" t="str">
            <v>B211</v>
          </cell>
        </row>
        <row r="90">
          <cell r="F90">
            <v>725</v>
          </cell>
          <cell r="H90" t="str">
            <v>B211</v>
          </cell>
        </row>
        <row r="91">
          <cell r="F91">
            <v>138</v>
          </cell>
          <cell r="H91" t="str">
            <v>B211</v>
          </cell>
        </row>
        <row r="92">
          <cell r="F92">
            <v>22571</v>
          </cell>
          <cell r="H92" t="str">
            <v>B210</v>
          </cell>
        </row>
        <row r="93">
          <cell r="F93">
            <v>1429</v>
          </cell>
          <cell r="H93" t="str">
            <v>B-1</v>
          </cell>
        </row>
        <row r="94">
          <cell r="F94">
            <v>476</v>
          </cell>
          <cell r="H94" t="str">
            <v>B-2</v>
          </cell>
        </row>
        <row r="95">
          <cell r="F95">
            <v>1048</v>
          </cell>
          <cell r="H95" t="str">
            <v>B-3</v>
          </cell>
        </row>
        <row r="96">
          <cell r="F96">
            <v>2524</v>
          </cell>
          <cell r="H96" t="str">
            <v>B-5</v>
          </cell>
        </row>
        <row r="97">
          <cell r="F97">
            <v>190</v>
          </cell>
          <cell r="H97" t="str">
            <v>B-4</v>
          </cell>
        </row>
        <row r="98">
          <cell r="F98">
            <v>143</v>
          </cell>
          <cell r="H98" t="str">
            <v>B-7</v>
          </cell>
        </row>
        <row r="99">
          <cell r="F99">
            <v>190</v>
          </cell>
          <cell r="H99" t="str">
            <v>B-9-1</v>
          </cell>
        </row>
        <row r="100">
          <cell r="F100">
            <v>1980</v>
          </cell>
          <cell r="H100" t="str">
            <v>B201</v>
          </cell>
        </row>
        <row r="101">
          <cell r="F101">
            <v>1786</v>
          </cell>
          <cell r="H101" t="str">
            <v>B211</v>
          </cell>
        </row>
        <row r="102">
          <cell r="F102">
            <v>2571</v>
          </cell>
          <cell r="H102" t="str">
            <v>B202</v>
          </cell>
        </row>
        <row r="103">
          <cell r="F103">
            <v>16000</v>
          </cell>
          <cell r="H103" t="str">
            <v>3A-7</v>
          </cell>
        </row>
        <row r="104">
          <cell r="F104">
            <v>34000</v>
          </cell>
          <cell r="H104" t="str">
            <v>A-3</v>
          </cell>
        </row>
        <row r="105">
          <cell r="F105">
            <v>226120</v>
          </cell>
          <cell r="H105" t="str">
            <v>B-1</v>
          </cell>
        </row>
        <row r="106">
          <cell r="F106">
            <v>124373</v>
          </cell>
          <cell r="H106" t="str">
            <v>B-12</v>
          </cell>
        </row>
        <row r="107">
          <cell r="F107">
            <v>95413</v>
          </cell>
          <cell r="H107" t="str">
            <v>B-14</v>
          </cell>
        </row>
        <row r="108">
          <cell r="F108">
            <v>69173</v>
          </cell>
          <cell r="H108" t="str">
            <v>B-2</v>
          </cell>
        </row>
        <row r="109">
          <cell r="F109">
            <v>277237</v>
          </cell>
          <cell r="H109" t="str">
            <v>B-3</v>
          </cell>
        </row>
        <row r="110">
          <cell r="F110">
            <v>56456</v>
          </cell>
          <cell r="H110" t="str">
            <v>B-7</v>
          </cell>
        </row>
        <row r="111">
          <cell r="F111">
            <v>20000</v>
          </cell>
          <cell r="H111" t="str">
            <v>B-9-1</v>
          </cell>
        </row>
        <row r="112">
          <cell r="F112">
            <v>105074</v>
          </cell>
          <cell r="H112" t="str">
            <v>B-5</v>
          </cell>
        </row>
        <row r="113">
          <cell r="F113">
            <v>35000</v>
          </cell>
          <cell r="H113" t="str">
            <v>B-4</v>
          </cell>
        </row>
        <row r="114">
          <cell r="F114">
            <v>279193</v>
          </cell>
          <cell r="H114" t="str">
            <v>B-9-1</v>
          </cell>
        </row>
        <row r="115">
          <cell r="F115">
            <v>52314</v>
          </cell>
          <cell r="H115" t="str">
            <v>B-9-2</v>
          </cell>
        </row>
        <row r="116">
          <cell r="F116">
            <v>10682</v>
          </cell>
          <cell r="H116" t="str">
            <v>B-9-4</v>
          </cell>
        </row>
        <row r="117">
          <cell r="F117">
            <v>129802</v>
          </cell>
          <cell r="H117" t="str">
            <v>B-9-5</v>
          </cell>
        </row>
        <row r="118">
          <cell r="F118">
            <v>16000</v>
          </cell>
          <cell r="H118" t="str">
            <v>DR201</v>
          </cell>
        </row>
        <row r="119">
          <cell r="F119">
            <v>4079</v>
          </cell>
          <cell r="H119" t="str">
            <v>3A-7</v>
          </cell>
        </row>
        <row r="120">
          <cell r="F120">
            <v>8645</v>
          </cell>
          <cell r="H120" t="str">
            <v>A-3</v>
          </cell>
        </row>
        <row r="121">
          <cell r="F121">
            <v>58915</v>
          </cell>
          <cell r="H121" t="str">
            <v>B-1</v>
          </cell>
        </row>
        <row r="122">
          <cell r="F122">
            <v>33501</v>
          </cell>
          <cell r="H122" t="str">
            <v>B-12</v>
          </cell>
        </row>
        <row r="123">
          <cell r="F123">
            <v>26169</v>
          </cell>
          <cell r="H123" t="str">
            <v>B-14</v>
          </cell>
        </row>
        <row r="124">
          <cell r="F124">
            <v>4759</v>
          </cell>
          <cell r="H124" t="str">
            <v>B-2</v>
          </cell>
        </row>
        <row r="125">
          <cell r="F125">
            <v>74176</v>
          </cell>
          <cell r="H125" t="str">
            <v>B-3</v>
          </cell>
        </row>
        <row r="126">
          <cell r="F126">
            <v>8008</v>
          </cell>
          <cell r="H126" t="str">
            <v>B-4</v>
          </cell>
        </row>
        <row r="127">
          <cell r="F127">
            <v>21681</v>
          </cell>
          <cell r="H127" t="str">
            <v>B-5</v>
          </cell>
        </row>
        <row r="128">
          <cell r="F128">
            <v>4795</v>
          </cell>
          <cell r="H128" t="str">
            <v>B-7</v>
          </cell>
        </row>
        <row r="129">
          <cell r="F129">
            <v>70104</v>
          </cell>
          <cell r="H129" t="str">
            <v>B-9-1</v>
          </cell>
        </row>
        <row r="130">
          <cell r="F130">
            <v>22719</v>
          </cell>
          <cell r="H130" t="str">
            <v>B-9-2</v>
          </cell>
        </row>
        <row r="131">
          <cell r="F131">
            <v>40988</v>
          </cell>
          <cell r="H131" t="str">
            <v>B-9-3</v>
          </cell>
        </row>
        <row r="132">
          <cell r="F132">
            <v>35468</v>
          </cell>
          <cell r="H132" t="str">
            <v>B-9-5</v>
          </cell>
        </row>
        <row r="133">
          <cell r="F133">
            <v>4079</v>
          </cell>
          <cell r="H133" t="str">
            <v>DR201</v>
          </cell>
        </row>
        <row r="134">
          <cell r="F134">
            <v>1800</v>
          </cell>
          <cell r="H134" t="str">
            <v>3A-7</v>
          </cell>
        </row>
        <row r="135">
          <cell r="F135">
            <v>3600</v>
          </cell>
          <cell r="H135" t="str">
            <v>A-3</v>
          </cell>
        </row>
        <row r="136">
          <cell r="F136">
            <v>25500</v>
          </cell>
          <cell r="H136" t="str">
            <v>B-1</v>
          </cell>
        </row>
        <row r="137">
          <cell r="F137">
            <v>14100</v>
          </cell>
          <cell r="H137" t="str">
            <v>B-12</v>
          </cell>
        </row>
        <row r="138">
          <cell r="F138">
            <v>10800</v>
          </cell>
          <cell r="H138" t="str">
            <v>B-14</v>
          </cell>
        </row>
        <row r="139">
          <cell r="F139">
            <v>7800</v>
          </cell>
          <cell r="H139" t="str">
            <v>B-2</v>
          </cell>
        </row>
        <row r="140">
          <cell r="F140">
            <v>30960</v>
          </cell>
          <cell r="H140" t="str">
            <v>B-3</v>
          </cell>
        </row>
        <row r="141">
          <cell r="F141">
            <v>9900</v>
          </cell>
          <cell r="H141" t="str">
            <v>B-4</v>
          </cell>
        </row>
        <row r="142">
          <cell r="F142">
            <v>10800</v>
          </cell>
          <cell r="H142" t="str">
            <v>B-5</v>
          </cell>
        </row>
        <row r="143">
          <cell r="F143">
            <v>2700</v>
          </cell>
          <cell r="H143" t="str">
            <v>B-7</v>
          </cell>
        </row>
        <row r="144">
          <cell r="F144">
            <v>31500</v>
          </cell>
          <cell r="H144" t="str">
            <v>B-9-1</v>
          </cell>
        </row>
        <row r="145">
          <cell r="F145">
            <v>10200</v>
          </cell>
          <cell r="H145" t="str">
            <v>B-9-2</v>
          </cell>
        </row>
        <row r="146">
          <cell r="F146">
            <v>1200</v>
          </cell>
          <cell r="H146" t="str">
            <v>B-9-3</v>
          </cell>
        </row>
        <row r="147">
          <cell r="F147">
            <v>14700</v>
          </cell>
          <cell r="H147" t="str">
            <v>B-9-5</v>
          </cell>
        </row>
        <row r="148">
          <cell r="F148">
            <v>1800</v>
          </cell>
          <cell r="H148" t="str">
            <v>DR201</v>
          </cell>
        </row>
        <row r="149">
          <cell r="F149">
            <v>7918</v>
          </cell>
          <cell r="H149" t="str">
            <v>3A-7</v>
          </cell>
        </row>
        <row r="150">
          <cell r="F150">
            <v>7355</v>
          </cell>
          <cell r="H150" t="str">
            <v>A-3</v>
          </cell>
        </row>
        <row r="151">
          <cell r="F151">
            <v>57252</v>
          </cell>
          <cell r="H151" t="str">
            <v>B-1</v>
          </cell>
        </row>
        <row r="152">
          <cell r="F152">
            <v>29803</v>
          </cell>
          <cell r="H152" t="str">
            <v>B-12</v>
          </cell>
        </row>
        <row r="153">
          <cell r="F153">
            <v>19082</v>
          </cell>
          <cell r="H153" t="str">
            <v>B-14</v>
          </cell>
        </row>
        <row r="154">
          <cell r="F154">
            <v>2612</v>
          </cell>
          <cell r="H154" t="str">
            <v>B-2</v>
          </cell>
        </row>
        <row r="155">
          <cell r="F155">
            <v>65535</v>
          </cell>
          <cell r="H155" t="str">
            <v>B-3</v>
          </cell>
        </row>
        <row r="156">
          <cell r="F156">
            <v>4912</v>
          </cell>
          <cell r="H156" t="str">
            <v>B-2</v>
          </cell>
        </row>
        <row r="157">
          <cell r="F157">
            <v>10060</v>
          </cell>
          <cell r="H157" t="str">
            <v>B-5</v>
          </cell>
        </row>
        <row r="158">
          <cell r="F158">
            <v>2558</v>
          </cell>
          <cell r="H158" t="str">
            <v>B-7</v>
          </cell>
        </row>
        <row r="159">
          <cell r="F159">
            <v>28565</v>
          </cell>
          <cell r="H159" t="str">
            <v>B-9-1</v>
          </cell>
        </row>
        <row r="160">
          <cell r="F160">
            <v>5254</v>
          </cell>
          <cell r="H160" t="str">
            <v>B-9-2</v>
          </cell>
        </row>
        <row r="161">
          <cell r="F161">
            <v>3987</v>
          </cell>
          <cell r="H161" t="str">
            <v>B-9-4</v>
          </cell>
        </row>
        <row r="162">
          <cell r="F162">
            <v>25968</v>
          </cell>
          <cell r="H162" t="str">
            <v>B-9-5</v>
          </cell>
        </row>
        <row r="163">
          <cell r="F163">
            <v>2985</v>
          </cell>
          <cell r="H163" t="str">
            <v>DR201</v>
          </cell>
        </row>
        <row r="164">
          <cell r="F164">
            <v>164234</v>
          </cell>
          <cell r="H164" t="str">
            <v>B-1</v>
          </cell>
        </row>
        <row r="165">
          <cell r="F165">
            <v>32000</v>
          </cell>
          <cell r="H165" t="str">
            <v>B-2</v>
          </cell>
        </row>
        <row r="166">
          <cell r="F166">
            <v>186000</v>
          </cell>
          <cell r="H166" t="str">
            <v>B-3</v>
          </cell>
        </row>
        <row r="167">
          <cell r="F167">
            <v>11000</v>
          </cell>
          <cell r="H167" t="str">
            <v>B-2</v>
          </cell>
        </row>
        <row r="168">
          <cell r="F168">
            <v>11000</v>
          </cell>
          <cell r="H168" t="str">
            <v>B-7</v>
          </cell>
        </row>
        <row r="169">
          <cell r="F169">
            <v>16000</v>
          </cell>
          <cell r="H169" t="str">
            <v>B-5</v>
          </cell>
        </row>
        <row r="170">
          <cell r="F170">
            <v>12000</v>
          </cell>
          <cell r="H170" t="str">
            <v>B-6</v>
          </cell>
        </row>
        <row r="171">
          <cell r="F171">
            <v>69000</v>
          </cell>
          <cell r="H171" t="str">
            <v>B-9-1</v>
          </cell>
        </row>
        <row r="172">
          <cell r="F172">
            <v>20000</v>
          </cell>
          <cell r="H172" t="str">
            <v>B-9-3</v>
          </cell>
        </row>
        <row r="173">
          <cell r="F173">
            <v>55000</v>
          </cell>
          <cell r="H173" t="str">
            <v>B-9-5</v>
          </cell>
        </row>
        <row r="174">
          <cell r="F174">
            <v>74903</v>
          </cell>
          <cell r="H174" t="str">
            <v>B-12</v>
          </cell>
        </row>
        <row r="175">
          <cell r="F175">
            <v>48000</v>
          </cell>
          <cell r="H175" t="str">
            <v>B-14</v>
          </cell>
        </row>
        <row r="176">
          <cell r="F176">
            <v>48000</v>
          </cell>
          <cell r="H176" t="str">
            <v>ID301</v>
          </cell>
        </row>
        <row r="177">
          <cell r="F177">
            <v>13800</v>
          </cell>
          <cell r="H177" t="str">
            <v>B209</v>
          </cell>
        </row>
        <row r="178">
          <cell r="F178">
            <v>48360</v>
          </cell>
          <cell r="H178" t="str">
            <v>B206</v>
          </cell>
        </row>
        <row r="179">
          <cell r="F179">
            <v>8220</v>
          </cell>
          <cell r="H179" t="str">
            <v>B-1</v>
          </cell>
        </row>
        <row r="180">
          <cell r="F180">
            <v>7200</v>
          </cell>
          <cell r="H180" t="str">
            <v>B-3</v>
          </cell>
        </row>
        <row r="181">
          <cell r="F181">
            <v>1800</v>
          </cell>
          <cell r="H181" t="str">
            <v>B-2</v>
          </cell>
        </row>
        <row r="182">
          <cell r="F182">
            <v>2000</v>
          </cell>
          <cell r="H182" t="str">
            <v>B-9-1</v>
          </cell>
        </row>
        <row r="183">
          <cell r="F183">
            <v>200</v>
          </cell>
          <cell r="H183" t="str">
            <v>B-9-2</v>
          </cell>
        </row>
        <row r="184">
          <cell r="F184">
            <v>1800</v>
          </cell>
          <cell r="H184" t="str">
            <v>B-9-5</v>
          </cell>
        </row>
        <row r="185">
          <cell r="F185">
            <v>2000</v>
          </cell>
          <cell r="H185" t="str">
            <v>B-14</v>
          </cell>
        </row>
        <row r="186">
          <cell r="F186">
            <v>1800</v>
          </cell>
          <cell r="H186" t="str">
            <v>B-12</v>
          </cell>
        </row>
        <row r="187">
          <cell r="F187">
            <v>1800</v>
          </cell>
          <cell r="H187" t="str">
            <v>B-9-3</v>
          </cell>
        </row>
        <row r="188">
          <cell r="F188">
            <v>3840</v>
          </cell>
          <cell r="H188" t="str">
            <v>B-1</v>
          </cell>
        </row>
        <row r="189">
          <cell r="F189">
            <v>700</v>
          </cell>
          <cell r="H189" t="str">
            <v>B-12</v>
          </cell>
        </row>
        <row r="190">
          <cell r="F190">
            <v>700</v>
          </cell>
          <cell r="H190" t="str">
            <v>B-14</v>
          </cell>
        </row>
        <row r="191">
          <cell r="F191">
            <v>2100</v>
          </cell>
          <cell r="H191" t="str">
            <v>B-3</v>
          </cell>
        </row>
        <row r="192">
          <cell r="F192">
            <v>700</v>
          </cell>
          <cell r="H192" t="str">
            <v>B-2</v>
          </cell>
        </row>
        <row r="193">
          <cell r="F193">
            <v>700</v>
          </cell>
          <cell r="H193" t="str">
            <v>B-9-1</v>
          </cell>
        </row>
        <row r="194">
          <cell r="F194">
            <v>700</v>
          </cell>
          <cell r="H194" t="str">
            <v>B-9-3</v>
          </cell>
        </row>
        <row r="195">
          <cell r="F195">
            <v>700</v>
          </cell>
          <cell r="H195" t="str">
            <v>B-9-5</v>
          </cell>
        </row>
        <row r="196">
          <cell r="F196">
            <v>18920</v>
          </cell>
          <cell r="H196" t="str">
            <v>B206</v>
          </cell>
        </row>
        <row r="197">
          <cell r="F197">
            <v>25436</v>
          </cell>
          <cell r="H197" t="str">
            <v>B-9-1</v>
          </cell>
        </row>
        <row r="198">
          <cell r="F198">
            <v>1637454</v>
          </cell>
          <cell r="H198" t="str">
            <v>B-12</v>
          </cell>
        </row>
        <row r="199">
          <cell r="F199">
            <v>562050</v>
          </cell>
          <cell r="H199" t="str">
            <v>B-9-1</v>
          </cell>
        </row>
        <row r="200">
          <cell r="F200">
            <v>1714932</v>
          </cell>
          <cell r="H200" t="str">
            <v>B-9-3</v>
          </cell>
        </row>
        <row r="201">
          <cell r="F201">
            <v>759543</v>
          </cell>
          <cell r="H201" t="str">
            <v>B-2</v>
          </cell>
        </row>
        <row r="202">
          <cell r="F202">
            <v>16920</v>
          </cell>
          <cell r="H202" t="str">
            <v>B-15</v>
          </cell>
        </row>
        <row r="203">
          <cell r="F203">
            <v>54800</v>
          </cell>
          <cell r="H203" t="str">
            <v>B-1</v>
          </cell>
        </row>
        <row r="204">
          <cell r="F204">
            <v>29040</v>
          </cell>
          <cell r="H204" t="str">
            <v>B-2</v>
          </cell>
        </row>
        <row r="205">
          <cell r="F205">
            <v>66130</v>
          </cell>
          <cell r="H205" t="str">
            <v>B-3</v>
          </cell>
        </row>
        <row r="206">
          <cell r="F206">
            <v>55388</v>
          </cell>
          <cell r="H206" t="str">
            <v>B-5</v>
          </cell>
        </row>
        <row r="207">
          <cell r="F207">
            <v>4350</v>
          </cell>
          <cell r="H207" t="str">
            <v>B-7</v>
          </cell>
        </row>
        <row r="208">
          <cell r="F208">
            <v>35150</v>
          </cell>
          <cell r="H208" t="str">
            <v>B-9-1</v>
          </cell>
        </row>
        <row r="209">
          <cell r="F209">
            <v>29450</v>
          </cell>
          <cell r="H209" t="str">
            <v>B-14</v>
          </cell>
        </row>
        <row r="210">
          <cell r="F210">
            <v>87400</v>
          </cell>
          <cell r="H210" t="str">
            <v>B-3</v>
          </cell>
        </row>
        <row r="211">
          <cell r="F211">
            <v>46550</v>
          </cell>
          <cell r="H211" t="str">
            <v>B-1</v>
          </cell>
        </row>
        <row r="212">
          <cell r="F212">
            <v>3800</v>
          </cell>
          <cell r="H212" t="str">
            <v>B-9-2</v>
          </cell>
        </row>
        <row r="213">
          <cell r="F213">
            <v>11400</v>
          </cell>
          <cell r="H213" t="str">
            <v>B-9-3</v>
          </cell>
        </row>
        <row r="214">
          <cell r="F214">
            <v>9500</v>
          </cell>
          <cell r="H214" t="str">
            <v>B-9-5</v>
          </cell>
        </row>
        <row r="215">
          <cell r="F215">
            <v>2375</v>
          </cell>
          <cell r="H215" t="str">
            <v>B-12</v>
          </cell>
        </row>
        <row r="216">
          <cell r="F216">
            <v>12650</v>
          </cell>
          <cell r="H216" t="str">
            <v>B-5</v>
          </cell>
        </row>
        <row r="217">
          <cell r="F217">
            <v>52900</v>
          </cell>
          <cell r="H217" t="str">
            <v>B-12</v>
          </cell>
        </row>
        <row r="218">
          <cell r="F218">
            <v>30000</v>
          </cell>
          <cell r="H218" t="str">
            <v>B-1</v>
          </cell>
        </row>
        <row r="219">
          <cell r="F219">
            <v>50</v>
          </cell>
          <cell r="H219" t="str">
            <v>3A-7</v>
          </cell>
        </row>
        <row r="220">
          <cell r="F220">
            <v>12337</v>
          </cell>
          <cell r="H220" t="str">
            <v>D-20</v>
          </cell>
        </row>
        <row r="221">
          <cell r="F221">
            <v>450</v>
          </cell>
          <cell r="H221" t="str">
            <v>D-21</v>
          </cell>
        </row>
        <row r="222">
          <cell r="F222">
            <v>21600</v>
          </cell>
          <cell r="H222" t="str">
            <v>B-12</v>
          </cell>
        </row>
        <row r="223">
          <cell r="F223">
            <v>4875</v>
          </cell>
          <cell r="H223" t="str">
            <v>B-9-1</v>
          </cell>
        </row>
        <row r="224">
          <cell r="F224">
            <v>4875</v>
          </cell>
          <cell r="H224" t="str">
            <v>B-9-2</v>
          </cell>
        </row>
        <row r="225">
          <cell r="F225">
            <v>4875</v>
          </cell>
          <cell r="H225" t="str">
            <v>B-9-3</v>
          </cell>
        </row>
        <row r="226">
          <cell r="F226">
            <v>4875</v>
          </cell>
          <cell r="H226" t="str">
            <v>B-9-5</v>
          </cell>
        </row>
        <row r="227">
          <cell r="F227">
            <v>10000</v>
          </cell>
          <cell r="H227" t="str">
            <v>B-3</v>
          </cell>
        </row>
        <row r="228">
          <cell r="F228">
            <v>10000</v>
          </cell>
          <cell r="H228" t="str">
            <v>B-9-5</v>
          </cell>
        </row>
        <row r="229">
          <cell r="F229">
            <v>5000</v>
          </cell>
          <cell r="H229" t="str">
            <v>B-12</v>
          </cell>
        </row>
        <row r="230">
          <cell r="F230">
            <v>1960</v>
          </cell>
          <cell r="H230" t="str">
            <v>B-1</v>
          </cell>
        </row>
        <row r="231">
          <cell r="F231">
            <v>290</v>
          </cell>
          <cell r="H231" t="str">
            <v>B-2</v>
          </cell>
        </row>
        <row r="232">
          <cell r="F232">
            <v>2805</v>
          </cell>
          <cell r="H232" t="str">
            <v>B-3</v>
          </cell>
        </row>
        <row r="233">
          <cell r="F233">
            <v>60</v>
          </cell>
          <cell r="H233" t="str">
            <v>B-4</v>
          </cell>
        </row>
        <row r="234">
          <cell r="F234">
            <v>50</v>
          </cell>
          <cell r="H234" t="str">
            <v>B-5</v>
          </cell>
        </row>
        <row r="235">
          <cell r="F235">
            <v>1070</v>
          </cell>
          <cell r="H235" t="str">
            <v>B-9-1</v>
          </cell>
        </row>
        <row r="236">
          <cell r="F236">
            <v>350</v>
          </cell>
          <cell r="H236" t="str">
            <v>B-9-2</v>
          </cell>
        </row>
        <row r="237">
          <cell r="F237">
            <v>852</v>
          </cell>
          <cell r="H237" t="str">
            <v>B-9-5</v>
          </cell>
        </row>
        <row r="238">
          <cell r="F238">
            <v>2724</v>
          </cell>
          <cell r="H238" t="str">
            <v>B210</v>
          </cell>
        </row>
        <row r="239">
          <cell r="F239">
            <v>665</v>
          </cell>
          <cell r="H239" t="str">
            <v>B211</v>
          </cell>
        </row>
        <row r="240">
          <cell r="F240">
            <v>810</v>
          </cell>
          <cell r="H240" t="str">
            <v>B209</v>
          </cell>
        </row>
        <row r="241">
          <cell r="F241">
            <v>210</v>
          </cell>
          <cell r="H241" t="str">
            <v>B201</v>
          </cell>
        </row>
        <row r="242">
          <cell r="F242">
            <v>747</v>
          </cell>
          <cell r="H242" t="str">
            <v>B211</v>
          </cell>
        </row>
        <row r="243">
          <cell r="F243">
            <v>1369</v>
          </cell>
          <cell r="H243" t="str">
            <v>B211</v>
          </cell>
        </row>
        <row r="244">
          <cell r="F244">
            <v>4774</v>
          </cell>
          <cell r="H244" t="str">
            <v>B202</v>
          </cell>
        </row>
        <row r="245">
          <cell r="F245">
            <v>40000</v>
          </cell>
          <cell r="H245" t="str">
            <v>B209</v>
          </cell>
        </row>
        <row r="246">
          <cell r="F246">
            <v>1144634</v>
          </cell>
          <cell r="H246" t="str">
            <v>B-1</v>
          </cell>
        </row>
        <row r="247">
          <cell r="F247">
            <v>553456</v>
          </cell>
          <cell r="H247" t="str">
            <v>B-2</v>
          </cell>
        </row>
        <row r="248">
          <cell r="F248">
            <v>518394</v>
          </cell>
          <cell r="H248" t="str">
            <v>B-3</v>
          </cell>
        </row>
        <row r="249">
          <cell r="F249">
            <v>6372</v>
          </cell>
          <cell r="H249" t="str">
            <v>B-4</v>
          </cell>
        </row>
        <row r="250">
          <cell r="F250">
            <v>1158860</v>
          </cell>
          <cell r="H250" t="str">
            <v>B-5</v>
          </cell>
        </row>
        <row r="251">
          <cell r="F251">
            <v>73604</v>
          </cell>
          <cell r="H251" t="str">
            <v>B-7</v>
          </cell>
        </row>
        <row r="252">
          <cell r="F252">
            <v>36580</v>
          </cell>
          <cell r="H252" t="str">
            <v>B-1</v>
          </cell>
        </row>
        <row r="253">
          <cell r="F253">
            <v>24156</v>
          </cell>
          <cell r="H253" t="str">
            <v>B-2</v>
          </cell>
        </row>
        <row r="254">
          <cell r="F254">
            <v>9238</v>
          </cell>
          <cell r="H254" t="str">
            <v>B-3</v>
          </cell>
        </row>
        <row r="255">
          <cell r="F255">
            <v>4928</v>
          </cell>
          <cell r="H255" t="str">
            <v>B-5</v>
          </cell>
        </row>
        <row r="256">
          <cell r="F256">
            <v>2705</v>
          </cell>
          <cell r="H256" t="str">
            <v>B-9-1</v>
          </cell>
        </row>
        <row r="257">
          <cell r="F257">
            <v>18350</v>
          </cell>
          <cell r="H257" t="str">
            <v>B-9-2</v>
          </cell>
        </row>
        <row r="258">
          <cell r="F258">
            <v>25885</v>
          </cell>
          <cell r="H258" t="str">
            <v>B-9-3</v>
          </cell>
        </row>
        <row r="259">
          <cell r="F259">
            <v>11394</v>
          </cell>
          <cell r="H259" t="str">
            <v>B-9-5</v>
          </cell>
        </row>
        <row r="260">
          <cell r="F260">
            <v>2705</v>
          </cell>
          <cell r="H260" t="str">
            <v>B-14</v>
          </cell>
        </row>
        <row r="261">
          <cell r="F261">
            <v>111702</v>
          </cell>
          <cell r="H261" t="str">
            <v>A-3</v>
          </cell>
        </row>
        <row r="262">
          <cell r="F262">
            <v>1771</v>
          </cell>
          <cell r="H262" t="str">
            <v>B210</v>
          </cell>
        </row>
        <row r="263">
          <cell r="F263">
            <v>3564</v>
          </cell>
          <cell r="H263" t="str">
            <v>4A-3</v>
          </cell>
        </row>
        <row r="264">
          <cell r="F264">
            <v>119313</v>
          </cell>
          <cell r="H264" t="str">
            <v>B-1</v>
          </cell>
        </row>
        <row r="265">
          <cell r="F265">
            <v>5315</v>
          </cell>
          <cell r="H265" t="str">
            <v>B-12</v>
          </cell>
        </row>
        <row r="266">
          <cell r="F266">
            <v>149193</v>
          </cell>
          <cell r="H266" t="str">
            <v>B-14</v>
          </cell>
        </row>
        <row r="267">
          <cell r="F267">
            <v>3500</v>
          </cell>
          <cell r="H267" t="str">
            <v>B-2</v>
          </cell>
        </row>
        <row r="268">
          <cell r="F268">
            <v>40500</v>
          </cell>
          <cell r="H268" t="str">
            <v>B-3</v>
          </cell>
        </row>
        <row r="269">
          <cell r="F269">
            <v>3500</v>
          </cell>
          <cell r="H269" t="str">
            <v>B-31</v>
          </cell>
        </row>
        <row r="270">
          <cell r="F270">
            <v>3500</v>
          </cell>
          <cell r="H270" t="str">
            <v>B-37</v>
          </cell>
        </row>
        <row r="271">
          <cell r="F271">
            <v>29470</v>
          </cell>
          <cell r="H271" t="str">
            <v>B-9-1</v>
          </cell>
        </row>
        <row r="272">
          <cell r="F272">
            <v>29469</v>
          </cell>
          <cell r="H272" t="str">
            <v>B-9-2</v>
          </cell>
        </row>
        <row r="273">
          <cell r="F273">
            <v>46189</v>
          </cell>
          <cell r="H273" t="str">
            <v>B-9-3</v>
          </cell>
        </row>
        <row r="274">
          <cell r="F274">
            <v>29750</v>
          </cell>
          <cell r="H274" t="str">
            <v>B-9-5</v>
          </cell>
        </row>
        <row r="275">
          <cell r="F275">
            <v>107189</v>
          </cell>
          <cell r="H275" t="str">
            <v>B-1</v>
          </cell>
        </row>
        <row r="276">
          <cell r="F276">
            <v>211625</v>
          </cell>
          <cell r="H276" t="str">
            <v>B-3</v>
          </cell>
        </row>
        <row r="277">
          <cell r="F277">
            <v>2376</v>
          </cell>
          <cell r="H277" t="str">
            <v>B-1</v>
          </cell>
        </row>
        <row r="278">
          <cell r="F278">
            <v>2376</v>
          </cell>
          <cell r="H278" t="str">
            <v>B-3</v>
          </cell>
        </row>
        <row r="279">
          <cell r="F279">
            <v>1940</v>
          </cell>
          <cell r="H279" t="str">
            <v>DR205</v>
          </cell>
        </row>
        <row r="280">
          <cell r="F280">
            <v>10175</v>
          </cell>
          <cell r="H280" t="str">
            <v>3A-7</v>
          </cell>
        </row>
        <row r="281">
          <cell r="F281">
            <v>14046</v>
          </cell>
          <cell r="H281" t="str">
            <v>B-1</v>
          </cell>
        </row>
        <row r="282">
          <cell r="F282">
            <v>29595</v>
          </cell>
          <cell r="H282" t="str">
            <v>B-3</v>
          </cell>
        </row>
        <row r="283">
          <cell r="F283">
            <v>9578</v>
          </cell>
          <cell r="H283" t="str">
            <v>B-4</v>
          </cell>
        </row>
        <row r="284">
          <cell r="F284">
            <v>31041</v>
          </cell>
          <cell r="H284" t="str">
            <v>B-5</v>
          </cell>
        </row>
        <row r="285">
          <cell r="F285">
            <v>13251</v>
          </cell>
          <cell r="H285" t="str">
            <v>B-9-1</v>
          </cell>
        </row>
        <row r="286">
          <cell r="F286">
            <v>17694</v>
          </cell>
          <cell r="H286" t="str">
            <v>B-9-2</v>
          </cell>
        </row>
        <row r="287">
          <cell r="F287">
            <v>12878</v>
          </cell>
          <cell r="H287" t="str">
            <v>B-9-4</v>
          </cell>
        </row>
        <row r="288">
          <cell r="F288">
            <v>13449</v>
          </cell>
          <cell r="H288" t="str">
            <v>B-9-5</v>
          </cell>
        </row>
        <row r="289">
          <cell r="F289">
            <v>26116</v>
          </cell>
          <cell r="H289" t="str">
            <v>B-12</v>
          </cell>
        </row>
        <row r="290">
          <cell r="F290">
            <v>2902</v>
          </cell>
          <cell r="H290" t="str">
            <v>B-14</v>
          </cell>
        </row>
        <row r="291">
          <cell r="F291">
            <v>660</v>
          </cell>
          <cell r="H291" t="str">
            <v>A-3</v>
          </cell>
        </row>
        <row r="292">
          <cell r="F292">
            <v>2338</v>
          </cell>
          <cell r="H292" t="str">
            <v>4A-4</v>
          </cell>
        </row>
        <row r="293">
          <cell r="F293">
            <v>291</v>
          </cell>
          <cell r="H293" t="str">
            <v>DR201</v>
          </cell>
        </row>
        <row r="294">
          <cell r="F294">
            <v>698</v>
          </cell>
          <cell r="H294" t="str">
            <v>B210</v>
          </cell>
        </row>
        <row r="295">
          <cell r="F295">
            <v>57600</v>
          </cell>
          <cell r="H295" t="str">
            <v>B-3</v>
          </cell>
        </row>
        <row r="296">
          <cell r="F296">
            <v>330000</v>
          </cell>
          <cell r="H296" t="str">
            <v>B-1</v>
          </cell>
        </row>
        <row r="297">
          <cell r="F297">
            <v>56000</v>
          </cell>
          <cell r="H297" t="str">
            <v>A-3</v>
          </cell>
        </row>
        <row r="298">
          <cell r="F298">
            <v>80806</v>
          </cell>
          <cell r="H298" t="str">
            <v>B-9-2</v>
          </cell>
        </row>
        <row r="299">
          <cell r="F299">
            <v>57078</v>
          </cell>
          <cell r="H299" t="str">
            <v>B-9-3</v>
          </cell>
        </row>
        <row r="300">
          <cell r="F300">
            <v>20000</v>
          </cell>
          <cell r="H300" t="str">
            <v>B-17</v>
          </cell>
        </row>
        <row r="301">
          <cell r="F301">
            <v>9000</v>
          </cell>
          <cell r="H301" t="str">
            <v>4A-6</v>
          </cell>
        </row>
        <row r="302">
          <cell r="F302">
            <v>102568</v>
          </cell>
          <cell r="H302" t="str">
            <v>A-3</v>
          </cell>
        </row>
        <row r="303">
          <cell r="F303">
            <v>28000</v>
          </cell>
          <cell r="H303" t="str">
            <v>B-1</v>
          </cell>
        </row>
        <row r="304">
          <cell r="F304">
            <v>1001500</v>
          </cell>
          <cell r="H304" t="str">
            <v>ID301</v>
          </cell>
        </row>
        <row r="305">
          <cell r="F305">
            <v>446710</v>
          </cell>
          <cell r="H305" t="str">
            <v>B-4</v>
          </cell>
        </row>
        <row r="309">
          <cell r="F309">
            <v>22835274</v>
          </cell>
        </row>
        <row r="400">
          <cell r="F400">
            <v>22835274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成本總表"/>
      <sheetName val="成本月報"/>
      <sheetName val="成本月報調整表"/>
      <sheetName val="報銷明細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電信"/>
      <sheetName val="預算"/>
      <sheetName val="單價1"/>
      <sheetName val="單價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面"/>
      <sheetName val="進度概況表"/>
      <sheetName val="進度SCurve"/>
      <sheetName val="進度表(拓建處)"/>
      <sheetName val="各標進度"/>
      <sheetName val="已過工期"/>
      <sheetName val="監造人月"/>
      <sheetName val="封面 "/>
      <sheetName val="進度預估J100"/>
      <sheetName val="J101"/>
      <sheetName val="預算總表J102"/>
      <sheetName val="預算分項J102A"/>
      <sheetName val="人時預算表J103"/>
      <sheetName val="人時預算表J103A"/>
      <sheetName val="列示表J109A"/>
      <sheetName val="列示表J109"/>
      <sheetName val="複委託J111"/>
      <sheetName val="預算說明J112"/>
      <sheetName val="電腦設備J113J114"/>
      <sheetName val="人時比例"/>
      <sheetName val="工作項目"/>
      <sheetName val="預算分析表"/>
      <sheetName val="100000"/>
      <sheetName val="封面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預定執行金額2"/>
      <sheetName val="預定執行金額1"/>
      <sheetName val="實際預定_查詢"/>
      <sheetName val="實際預定_查詢_查詢_查詢"/>
    </sheetNames>
    <sheetDataSet>
      <sheetData sheetId="0" refreshError="1"/>
      <sheetData sheetId="1" refreshError="1"/>
      <sheetData sheetId="2" refreshError="1">
        <row r="1">
          <cell r="A1" t="str">
            <v>實際預定工作項目</v>
          </cell>
          <cell r="B1" t="str">
            <v>預估數量</v>
          </cell>
          <cell r="C1" t="str">
            <v>開始日期</v>
          </cell>
          <cell r="D1" t="str">
            <v>結束日期</v>
          </cell>
          <cell r="E1" t="str">
            <v>日</v>
          </cell>
          <cell r="F1" t="str">
            <v>工程屬性</v>
          </cell>
          <cell r="G1" t="str">
            <v>金額之總計</v>
          </cell>
          <cell r="H1" t="str">
            <v>單位</v>
          </cell>
          <cell r="I1" t="str">
            <v>預定完成金額</v>
          </cell>
          <cell r="J1" t="str">
            <v>完成數量</v>
          </cell>
          <cell r="K1" t="str">
            <v>實際完成金額</v>
          </cell>
        </row>
        <row r="2">
          <cell r="A2" t="str">
            <v>P29施打全套管基樁</v>
          </cell>
          <cell r="B2">
            <v>6</v>
          </cell>
          <cell r="C2">
            <v>38047</v>
          </cell>
          <cell r="D2">
            <v>38074</v>
          </cell>
          <cell r="E2">
            <v>28</v>
          </cell>
          <cell r="F2" t="str">
            <v>基樁(150)</v>
          </cell>
          <cell r="G2">
            <v>333443.8</v>
          </cell>
          <cell r="H2" t="str">
            <v>支</v>
          </cell>
          <cell r="I2">
            <v>2000662.8</v>
          </cell>
          <cell r="J2">
            <v>6</v>
          </cell>
          <cell r="K2">
            <v>2000662.8</v>
          </cell>
        </row>
        <row r="3">
          <cell r="A3" t="str">
            <v>P28施打全套管基樁</v>
          </cell>
          <cell r="B3">
            <v>12</v>
          </cell>
          <cell r="C3">
            <v>38047</v>
          </cell>
          <cell r="D3">
            <v>38074</v>
          </cell>
          <cell r="E3">
            <v>28</v>
          </cell>
          <cell r="F3" t="str">
            <v>基樁(150)</v>
          </cell>
          <cell r="G3">
            <v>333443.8</v>
          </cell>
          <cell r="H3" t="str">
            <v>支</v>
          </cell>
          <cell r="I3">
            <v>4001325.6</v>
          </cell>
          <cell r="J3">
            <v>7</v>
          </cell>
          <cell r="K3">
            <v>2334106.6</v>
          </cell>
        </row>
        <row r="4">
          <cell r="A4" t="str">
            <v>P27施打全套管基樁</v>
          </cell>
          <cell r="B4">
            <v>12</v>
          </cell>
          <cell r="C4">
            <v>38047</v>
          </cell>
          <cell r="D4">
            <v>38074</v>
          </cell>
          <cell r="E4">
            <v>28</v>
          </cell>
          <cell r="F4" t="str">
            <v>基樁(150)</v>
          </cell>
          <cell r="G4">
            <v>333443.8</v>
          </cell>
          <cell r="H4" t="str">
            <v>支</v>
          </cell>
          <cell r="I4">
            <v>4001325.6</v>
          </cell>
          <cell r="J4">
            <v>12</v>
          </cell>
          <cell r="K4">
            <v>4001325.6</v>
          </cell>
        </row>
        <row r="5">
          <cell r="A5" t="str">
            <v>P26施打全套管基樁</v>
          </cell>
          <cell r="B5">
            <v>12</v>
          </cell>
          <cell r="C5">
            <v>38047</v>
          </cell>
          <cell r="D5">
            <v>38074</v>
          </cell>
          <cell r="E5">
            <v>28</v>
          </cell>
          <cell r="F5" t="str">
            <v>基樁(150)</v>
          </cell>
          <cell r="G5">
            <v>333443.8</v>
          </cell>
          <cell r="H5" t="str">
            <v>支</v>
          </cell>
          <cell r="I5">
            <v>4001325.6</v>
          </cell>
          <cell r="J5">
            <v>12</v>
          </cell>
          <cell r="K5">
            <v>4001325.6</v>
          </cell>
        </row>
        <row r="6">
          <cell r="A6" t="str">
            <v>P25施打全套管基樁</v>
          </cell>
          <cell r="B6">
            <v>12</v>
          </cell>
          <cell r="C6">
            <v>38047</v>
          </cell>
          <cell r="D6">
            <v>38074</v>
          </cell>
          <cell r="E6">
            <v>28</v>
          </cell>
          <cell r="F6" t="str">
            <v>基樁(150)</v>
          </cell>
          <cell r="G6">
            <v>333443.8</v>
          </cell>
          <cell r="H6" t="str">
            <v>支</v>
          </cell>
          <cell r="I6">
            <v>4001325.6</v>
          </cell>
          <cell r="J6">
            <v>12</v>
          </cell>
          <cell r="K6">
            <v>4001325.6</v>
          </cell>
        </row>
        <row r="7">
          <cell r="A7" t="str">
            <v>P28~P29  I型梁施作</v>
          </cell>
          <cell r="B7">
            <v>1</v>
          </cell>
          <cell r="C7">
            <v>38047</v>
          </cell>
          <cell r="D7">
            <v>38074</v>
          </cell>
          <cell r="E7">
            <v>28</v>
          </cell>
          <cell r="F7" t="str">
            <v xml:space="preserve"> I型梁施作</v>
          </cell>
          <cell r="J7">
            <v>0</v>
          </cell>
        </row>
        <row r="8">
          <cell r="A8" t="str">
            <v>管線調查及遷移</v>
          </cell>
          <cell r="B8">
            <v>1</v>
          </cell>
          <cell r="C8">
            <v>38047</v>
          </cell>
          <cell r="D8">
            <v>38074</v>
          </cell>
          <cell r="E8">
            <v>28</v>
          </cell>
          <cell r="F8" t="str">
            <v>其他</v>
          </cell>
          <cell r="G8">
            <v>0</v>
          </cell>
          <cell r="H8" t="str">
            <v>式</v>
          </cell>
          <cell r="I8">
            <v>0</v>
          </cell>
          <cell r="J8">
            <v>1</v>
          </cell>
          <cell r="K8">
            <v>0</v>
          </cell>
        </row>
        <row r="9">
          <cell r="A9" t="str">
            <v>P23施打全套管基樁</v>
          </cell>
          <cell r="B9">
            <v>0</v>
          </cell>
          <cell r="C9">
            <v>38047</v>
          </cell>
          <cell r="D9">
            <v>38074</v>
          </cell>
          <cell r="E9">
            <v>28</v>
          </cell>
          <cell r="F9" t="str">
            <v>基樁(150)</v>
          </cell>
          <cell r="G9">
            <v>333443.8</v>
          </cell>
          <cell r="H9" t="str">
            <v>支</v>
          </cell>
          <cell r="I9">
            <v>0</v>
          </cell>
          <cell r="J9">
            <v>12</v>
          </cell>
          <cell r="K9">
            <v>4001325.6</v>
          </cell>
        </row>
        <row r="10">
          <cell r="A10" t="str">
            <v>P20施打全套管基樁</v>
          </cell>
          <cell r="B10">
            <v>0</v>
          </cell>
          <cell r="C10">
            <v>38047</v>
          </cell>
          <cell r="D10">
            <v>38074</v>
          </cell>
          <cell r="E10">
            <v>28</v>
          </cell>
          <cell r="F10" t="str">
            <v>基樁(150)</v>
          </cell>
          <cell r="G10">
            <v>333443.8</v>
          </cell>
          <cell r="H10" t="str">
            <v>支</v>
          </cell>
          <cell r="I10">
            <v>0</v>
          </cell>
          <cell r="J10">
            <v>1</v>
          </cell>
          <cell r="K10">
            <v>333443.8</v>
          </cell>
        </row>
        <row r="11">
          <cell r="A11" t="str">
            <v>P31施打全套管基樁</v>
          </cell>
          <cell r="B11">
            <v>0</v>
          </cell>
          <cell r="C11">
            <v>38047</v>
          </cell>
          <cell r="D11">
            <v>38074</v>
          </cell>
          <cell r="E11">
            <v>28</v>
          </cell>
          <cell r="F11" t="str">
            <v>基樁(150)</v>
          </cell>
          <cell r="G11">
            <v>333443.8</v>
          </cell>
          <cell r="H11" t="str">
            <v>支</v>
          </cell>
          <cell r="I11">
            <v>0</v>
          </cell>
          <cell r="J11">
            <v>12</v>
          </cell>
          <cell r="K11">
            <v>4001325.6</v>
          </cell>
        </row>
        <row r="12">
          <cell r="A12" t="str">
            <v>P22施打全套管基樁</v>
          </cell>
          <cell r="B12">
            <v>0</v>
          </cell>
          <cell r="C12">
            <v>38047</v>
          </cell>
          <cell r="D12">
            <v>38074</v>
          </cell>
          <cell r="E12">
            <v>28</v>
          </cell>
          <cell r="F12" t="str">
            <v>基樁(150)</v>
          </cell>
          <cell r="G12">
            <v>333443.8</v>
          </cell>
          <cell r="H12" t="str">
            <v>支</v>
          </cell>
          <cell r="I12">
            <v>0</v>
          </cell>
          <cell r="J12">
            <v>12</v>
          </cell>
          <cell r="K12">
            <v>4001325.6</v>
          </cell>
        </row>
        <row r="13">
          <cell r="A13" t="str">
            <v>P30施打全套管基樁</v>
          </cell>
          <cell r="B13">
            <v>0</v>
          </cell>
          <cell r="C13">
            <v>38047</v>
          </cell>
          <cell r="D13">
            <v>38074</v>
          </cell>
          <cell r="E13">
            <v>28</v>
          </cell>
          <cell r="F13" t="str">
            <v>基樁(150)</v>
          </cell>
          <cell r="G13">
            <v>333443.8</v>
          </cell>
          <cell r="H13" t="str">
            <v>支</v>
          </cell>
          <cell r="I13">
            <v>0</v>
          </cell>
          <cell r="J13">
            <v>6</v>
          </cell>
          <cell r="K13">
            <v>2000662.8</v>
          </cell>
        </row>
        <row r="14">
          <cell r="A14" t="str">
            <v>P32施打全套管基樁</v>
          </cell>
          <cell r="B14">
            <v>0</v>
          </cell>
          <cell r="C14">
            <v>38047</v>
          </cell>
          <cell r="D14">
            <v>38074</v>
          </cell>
          <cell r="E14">
            <v>28</v>
          </cell>
          <cell r="F14" t="str">
            <v>基樁(150)</v>
          </cell>
          <cell r="G14">
            <v>333443.8</v>
          </cell>
          <cell r="H14" t="str">
            <v>支</v>
          </cell>
          <cell r="I14">
            <v>0</v>
          </cell>
          <cell r="J14">
            <v>7</v>
          </cell>
          <cell r="K14">
            <v>2334106.6</v>
          </cell>
        </row>
        <row r="15">
          <cell r="A15" t="str">
            <v>P21施打全套管基樁</v>
          </cell>
          <cell r="B15">
            <v>0</v>
          </cell>
          <cell r="C15">
            <v>38047</v>
          </cell>
          <cell r="D15">
            <v>38074</v>
          </cell>
          <cell r="E15">
            <v>28</v>
          </cell>
          <cell r="F15" t="str">
            <v>基樁(150)</v>
          </cell>
          <cell r="G15">
            <v>333443.8</v>
          </cell>
          <cell r="H15" t="str">
            <v>支</v>
          </cell>
          <cell r="I15">
            <v>0</v>
          </cell>
          <cell r="J15">
            <v>4</v>
          </cell>
          <cell r="K15">
            <v>1333775.2</v>
          </cell>
        </row>
        <row r="16">
          <cell r="A16" t="str">
            <v>P33施打全套管基樁</v>
          </cell>
          <cell r="B16">
            <v>0</v>
          </cell>
          <cell r="C16">
            <v>38047</v>
          </cell>
          <cell r="D16">
            <v>38074</v>
          </cell>
          <cell r="E16">
            <v>28</v>
          </cell>
          <cell r="F16" t="str">
            <v>基樁(150)</v>
          </cell>
          <cell r="G16">
            <v>333443.8</v>
          </cell>
          <cell r="H16" t="str">
            <v>支</v>
          </cell>
          <cell r="I16">
            <v>0</v>
          </cell>
          <cell r="J16">
            <v>5</v>
          </cell>
          <cell r="K16">
            <v>1667219</v>
          </cell>
        </row>
      </sheetData>
      <sheetData sheetId="3" refreshError="1">
        <row r="1">
          <cell r="A1" t="str">
            <v>預定完成金額之總計</v>
          </cell>
          <cell r="B1" t="str">
            <v>金額之總計</v>
          </cell>
          <cell r="C1" t="str">
            <v>進度</v>
          </cell>
          <cell r="D1" t="str">
            <v>工程名稱</v>
          </cell>
          <cell r="E1" t="str">
            <v>主辦單位</v>
          </cell>
          <cell r="F1" t="str">
            <v>設計單位</v>
          </cell>
          <cell r="G1" t="str">
            <v>承造廠商</v>
          </cell>
          <cell r="H1" t="str">
            <v>工程總價</v>
          </cell>
          <cell r="I1" t="str">
            <v>工程範圍</v>
          </cell>
          <cell r="J1" t="str">
            <v>工期展延</v>
          </cell>
          <cell r="K1" t="str">
            <v>案號及契約編號</v>
          </cell>
          <cell r="L1" t="str">
            <v>承造單位</v>
          </cell>
          <cell r="M1" t="str">
            <v>承造單位代號</v>
          </cell>
          <cell r="N1" t="str">
            <v>承造單位統編</v>
          </cell>
          <cell r="O1" t="str">
            <v>承造單位部門</v>
          </cell>
          <cell r="P1" t="str">
            <v>展延後完工日期</v>
          </cell>
          <cell r="Q1" t="str">
            <v>執行單位</v>
          </cell>
          <cell r="R1" t="str">
            <v>單位代號</v>
          </cell>
          <cell r="S1" t="str">
            <v>工程簡號</v>
          </cell>
          <cell r="T1" t="str">
            <v>營業稅</v>
          </cell>
          <cell r="U1" t="str">
            <v>業主管理費百分比</v>
          </cell>
          <cell r="V1" t="str">
            <v>實際完成金額之總計</v>
          </cell>
          <cell r="W1" t="str">
            <v>實際進度</v>
          </cell>
        </row>
        <row r="2">
          <cell r="A2">
            <v>18005965.199999999</v>
          </cell>
          <cell r="B2">
            <v>1108800000</v>
          </cell>
          <cell r="C2">
            <v>1.6239146103896103E-2</v>
          </cell>
          <cell r="D2" t="str">
            <v>中山高速公路員林至高雄拓寬中沙大橋拓建工程（第512標）</v>
          </cell>
          <cell r="E2" t="str">
            <v>交通部台灣區國道高速公路局</v>
          </cell>
          <cell r="F2" t="str">
            <v>財團法人中央營建公司技術顧問研究社</v>
          </cell>
          <cell r="G2" t="str">
            <v>榮民工程股份有限公司</v>
          </cell>
          <cell r="H2">
            <v>1108800000</v>
          </cell>
          <cell r="I2" t="str">
            <v>中山高速公路里程226k+300~228k+900</v>
          </cell>
          <cell r="J2">
            <v>0</v>
          </cell>
          <cell r="K2" t="str">
            <v>092A11008</v>
          </cell>
          <cell r="L2" t="str">
            <v>榮工公司營建施工處</v>
          </cell>
          <cell r="M2" t="str">
            <v>390</v>
          </cell>
          <cell r="N2" t="str">
            <v>04880745</v>
          </cell>
          <cell r="O2" t="str">
            <v>營建施工處中部分處</v>
          </cell>
          <cell r="P2">
            <v>38835</v>
          </cell>
          <cell r="Q2" t="str">
            <v>西螺施工所</v>
          </cell>
          <cell r="R2" t="str">
            <v>B19</v>
          </cell>
          <cell r="S2" t="str">
            <v>92C01</v>
          </cell>
          <cell r="T2">
            <v>0.05</v>
          </cell>
          <cell r="U2">
            <v>0.08</v>
          </cell>
          <cell r="V2">
            <v>36011930.399999999</v>
          </cell>
          <cell r="W2">
            <v>3.2478292207792206E-2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鋼筋"/>
      <sheetName val="位置資料"/>
      <sheetName val="數量計算"/>
      <sheetName val="﹡TYPE 數量計算 (兩側均背牆)"/>
      <sheetName val="計算所得"/>
      <sheetName val="位置進度"/>
    </sheetNames>
    <sheetDataSet>
      <sheetData sheetId="0" refreshError="1">
        <row r="3">
          <cell r="H3" t="str">
            <v>0</v>
          </cell>
          <cell r="I3">
            <v>0</v>
          </cell>
          <cell r="J3">
            <v>80</v>
          </cell>
          <cell r="K3">
            <v>20</v>
          </cell>
          <cell r="L3">
            <v>0</v>
          </cell>
          <cell r="M3">
            <v>13</v>
          </cell>
          <cell r="N3" t="str">
            <v>∮@</v>
          </cell>
          <cell r="O3">
            <v>30</v>
          </cell>
          <cell r="P3">
            <v>13</v>
          </cell>
          <cell r="Q3" t="str">
            <v>∮@</v>
          </cell>
          <cell r="R3">
            <v>45</v>
          </cell>
        </row>
        <row r="4">
          <cell r="H4" t="str">
            <v>1</v>
          </cell>
          <cell r="I4">
            <v>1</v>
          </cell>
          <cell r="J4" t="str">
            <v>80或200</v>
          </cell>
          <cell r="K4">
            <v>20</v>
          </cell>
          <cell r="L4" t="str">
            <v>0~100</v>
          </cell>
          <cell r="M4">
            <v>19</v>
          </cell>
          <cell r="N4" t="str">
            <v>∮@</v>
          </cell>
          <cell r="O4">
            <v>30</v>
          </cell>
          <cell r="P4">
            <v>19</v>
          </cell>
          <cell r="Q4" t="str">
            <v>∮@</v>
          </cell>
          <cell r="R4">
            <v>30</v>
          </cell>
          <cell r="S4">
            <v>16</v>
          </cell>
          <cell r="T4" t="str">
            <v>∮@</v>
          </cell>
          <cell r="U4">
            <v>30</v>
          </cell>
          <cell r="V4">
            <v>19</v>
          </cell>
          <cell r="W4" t="str">
            <v>∮@</v>
          </cell>
          <cell r="X4">
            <v>30</v>
          </cell>
          <cell r="Y4">
            <v>16</v>
          </cell>
          <cell r="Z4" t="str">
            <v>∮@</v>
          </cell>
          <cell r="AA4">
            <v>30</v>
          </cell>
          <cell r="AB4">
            <v>13</v>
          </cell>
          <cell r="AC4" t="str">
            <v>∮@</v>
          </cell>
          <cell r="AD4">
            <v>30</v>
          </cell>
          <cell r="AE4">
            <v>13</v>
          </cell>
          <cell r="AF4" t="str">
            <v>∮@</v>
          </cell>
          <cell r="AG4">
            <v>45</v>
          </cell>
        </row>
        <row r="5">
          <cell r="H5" t="str">
            <v>2</v>
          </cell>
          <cell r="I5">
            <v>1.5</v>
          </cell>
          <cell r="J5" t="str">
            <v>80或200</v>
          </cell>
          <cell r="K5">
            <v>25</v>
          </cell>
          <cell r="L5" t="str">
            <v>100~150</v>
          </cell>
          <cell r="M5">
            <v>19</v>
          </cell>
          <cell r="N5" t="str">
            <v>∮@</v>
          </cell>
          <cell r="O5">
            <v>30</v>
          </cell>
          <cell r="P5">
            <v>19</v>
          </cell>
          <cell r="Q5" t="str">
            <v>∮@</v>
          </cell>
          <cell r="R5">
            <v>30</v>
          </cell>
          <cell r="S5">
            <v>16</v>
          </cell>
          <cell r="T5" t="str">
            <v>∮@</v>
          </cell>
          <cell r="U5">
            <v>30</v>
          </cell>
          <cell r="V5">
            <v>19</v>
          </cell>
          <cell r="W5" t="str">
            <v>∮@</v>
          </cell>
          <cell r="X5">
            <v>15</v>
          </cell>
          <cell r="Y5">
            <v>16</v>
          </cell>
          <cell r="Z5" t="str">
            <v>∮@</v>
          </cell>
          <cell r="AA5">
            <v>30</v>
          </cell>
          <cell r="AB5">
            <v>13</v>
          </cell>
          <cell r="AC5" t="str">
            <v>∮@</v>
          </cell>
          <cell r="AD5">
            <v>30</v>
          </cell>
          <cell r="AE5">
            <v>13</v>
          </cell>
          <cell r="AF5" t="str">
            <v>∮@</v>
          </cell>
          <cell r="AG5">
            <v>45</v>
          </cell>
        </row>
        <row r="6">
          <cell r="H6" t="str">
            <v>3</v>
          </cell>
          <cell r="I6">
            <v>2</v>
          </cell>
          <cell r="J6" t="str">
            <v>80或200</v>
          </cell>
          <cell r="K6">
            <v>30</v>
          </cell>
          <cell r="L6" t="str">
            <v>150~200</v>
          </cell>
          <cell r="M6">
            <v>19</v>
          </cell>
          <cell r="N6" t="str">
            <v>∮@</v>
          </cell>
          <cell r="O6">
            <v>25</v>
          </cell>
          <cell r="P6">
            <v>19</v>
          </cell>
          <cell r="Q6" t="str">
            <v>∮@</v>
          </cell>
          <cell r="R6">
            <v>25</v>
          </cell>
          <cell r="S6">
            <v>16</v>
          </cell>
          <cell r="T6" t="str">
            <v>∮@</v>
          </cell>
          <cell r="U6">
            <v>25</v>
          </cell>
          <cell r="V6">
            <v>19</v>
          </cell>
          <cell r="W6" t="str">
            <v>∮@</v>
          </cell>
          <cell r="X6">
            <v>12</v>
          </cell>
          <cell r="Y6">
            <v>16</v>
          </cell>
          <cell r="Z6" t="str">
            <v>∮@</v>
          </cell>
          <cell r="AA6">
            <v>30</v>
          </cell>
          <cell r="AB6">
            <v>13</v>
          </cell>
          <cell r="AC6" t="str">
            <v>∮@</v>
          </cell>
          <cell r="AD6">
            <v>30</v>
          </cell>
          <cell r="AE6">
            <v>13</v>
          </cell>
          <cell r="AF6" t="str">
            <v>∮@</v>
          </cell>
          <cell r="AG6">
            <v>45</v>
          </cell>
        </row>
        <row r="7">
          <cell r="H7" t="str">
            <v>4</v>
          </cell>
          <cell r="I7">
            <v>2.5</v>
          </cell>
          <cell r="J7" t="str">
            <v>80或200</v>
          </cell>
          <cell r="K7">
            <v>35</v>
          </cell>
          <cell r="L7" t="str">
            <v>200~250</v>
          </cell>
          <cell r="M7">
            <v>19</v>
          </cell>
          <cell r="N7" t="str">
            <v>∮@</v>
          </cell>
          <cell r="O7">
            <v>20</v>
          </cell>
          <cell r="P7">
            <v>19</v>
          </cell>
          <cell r="Q7" t="str">
            <v>∮@</v>
          </cell>
          <cell r="R7">
            <v>20</v>
          </cell>
          <cell r="S7">
            <v>16</v>
          </cell>
          <cell r="T7" t="str">
            <v>∮@</v>
          </cell>
          <cell r="U7">
            <v>25</v>
          </cell>
          <cell r="V7">
            <v>22</v>
          </cell>
          <cell r="W7" t="str">
            <v>∮@</v>
          </cell>
          <cell r="X7">
            <v>15</v>
          </cell>
          <cell r="Y7">
            <v>16</v>
          </cell>
          <cell r="Z7" t="str">
            <v>∮@</v>
          </cell>
          <cell r="AA7">
            <v>25</v>
          </cell>
          <cell r="AB7">
            <v>13</v>
          </cell>
          <cell r="AC7" t="str">
            <v>∮@</v>
          </cell>
          <cell r="AD7">
            <v>30</v>
          </cell>
          <cell r="AE7">
            <v>13</v>
          </cell>
          <cell r="AF7" t="str">
            <v>∮@</v>
          </cell>
          <cell r="AG7">
            <v>45</v>
          </cell>
        </row>
        <row r="8">
          <cell r="H8" t="str">
            <v>5</v>
          </cell>
          <cell r="I8">
            <v>3</v>
          </cell>
          <cell r="J8" t="str">
            <v>80或200</v>
          </cell>
          <cell r="K8">
            <v>40</v>
          </cell>
          <cell r="L8" t="str">
            <v>250~300</v>
          </cell>
          <cell r="M8">
            <v>19</v>
          </cell>
          <cell r="N8" t="str">
            <v>∮@</v>
          </cell>
          <cell r="O8">
            <v>15</v>
          </cell>
          <cell r="P8">
            <v>19</v>
          </cell>
          <cell r="Q8" t="str">
            <v>∮@</v>
          </cell>
          <cell r="R8">
            <v>15</v>
          </cell>
          <cell r="S8">
            <v>16</v>
          </cell>
          <cell r="T8" t="str">
            <v>∮@</v>
          </cell>
          <cell r="U8">
            <v>20</v>
          </cell>
          <cell r="V8">
            <v>22</v>
          </cell>
          <cell r="W8" t="str">
            <v>∮@</v>
          </cell>
          <cell r="X8">
            <v>15</v>
          </cell>
          <cell r="Y8">
            <v>16</v>
          </cell>
          <cell r="Z8" t="str">
            <v>∮@</v>
          </cell>
          <cell r="AA8">
            <v>25</v>
          </cell>
          <cell r="AB8">
            <v>13</v>
          </cell>
          <cell r="AC8" t="str">
            <v>∮@</v>
          </cell>
          <cell r="AD8">
            <v>30</v>
          </cell>
          <cell r="AE8">
            <v>13</v>
          </cell>
          <cell r="AF8" t="str">
            <v>∮@</v>
          </cell>
          <cell r="AG8">
            <v>45</v>
          </cell>
        </row>
        <row r="9">
          <cell r="H9" t="str">
            <v>6</v>
          </cell>
          <cell r="I9">
            <v>3.5</v>
          </cell>
          <cell r="J9" t="str">
            <v>80或200</v>
          </cell>
          <cell r="K9">
            <v>40</v>
          </cell>
          <cell r="L9" t="str">
            <v>300~350</v>
          </cell>
          <cell r="M9">
            <v>19</v>
          </cell>
          <cell r="N9" t="str">
            <v>∮@</v>
          </cell>
          <cell r="O9">
            <v>15</v>
          </cell>
          <cell r="P9">
            <v>19</v>
          </cell>
          <cell r="Q9" t="str">
            <v>∮@</v>
          </cell>
          <cell r="R9">
            <v>15</v>
          </cell>
          <cell r="S9">
            <v>16</v>
          </cell>
          <cell r="T9" t="str">
            <v>∮@</v>
          </cell>
          <cell r="U9">
            <v>20</v>
          </cell>
          <cell r="V9">
            <v>22</v>
          </cell>
          <cell r="W9" t="str">
            <v>∮@</v>
          </cell>
          <cell r="X9">
            <v>12</v>
          </cell>
          <cell r="Y9">
            <v>16</v>
          </cell>
          <cell r="Z9" t="str">
            <v>∮@</v>
          </cell>
          <cell r="AA9">
            <v>20</v>
          </cell>
          <cell r="AB9">
            <v>13</v>
          </cell>
          <cell r="AC9" t="str">
            <v>∮@</v>
          </cell>
          <cell r="AD9">
            <v>30</v>
          </cell>
          <cell r="AE9">
            <v>13</v>
          </cell>
          <cell r="AF9" t="str">
            <v>∮@</v>
          </cell>
          <cell r="AG9">
            <v>45</v>
          </cell>
        </row>
        <row r="10">
          <cell r="H10" t="str">
            <v>7</v>
          </cell>
          <cell r="I10">
            <v>4.5</v>
          </cell>
          <cell r="J10" t="str">
            <v>80或200</v>
          </cell>
          <cell r="K10">
            <v>50</v>
          </cell>
          <cell r="L10" t="str">
            <v>350~450</v>
          </cell>
          <cell r="M10">
            <v>19</v>
          </cell>
          <cell r="N10" t="str">
            <v>∮@</v>
          </cell>
          <cell r="O10">
            <v>15</v>
          </cell>
          <cell r="P10">
            <v>22</v>
          </cell>
          <cell r="Q10" t="str">
            <v>∮@</v>
          </cell>
          <cell r="R10">
            <v>12</v>
          </cell>
          <cell r="S10">
            <v>16</v>
          </cell>
          <cell r="T10" t="str">
            <v>∮@</v>
          </cell>
          <cell r="U10">
            <v>20</v>
          </cell>
          <cell r="V10">
            <v>22</v>
          </cell>
          <cell r="W10" t="str">
            <v>∮@</v>
          </cell>
          <cell r="X10">
            <v>12</v>
          </cell>
          <cell r="Y10">
            <v>16</v>
          </cell>
          <cell r="Z10" t="str">
            <v>∮@</v>
          </cell>
          <cell r="AA10">
            <v>20</v>
          </cell>
          <cell r="AB10">
            <v>13</v>
          </cell>
          <cell r="AC10" t="str">
            <v>∮@</v>
          </cell>
          <cell r="AD10">
            <v>30</v>
          </cell>
          <cell r="AE10">
            <v>13</v>
          </cell>
          <cell r="AF10" t="str">
            <v>∮@</v>
          </cell>
          <cell r="AG10">
            <v>45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07"/>
  <sheetViews>
    <sheetView tabSelected="1" view="pageBreakPreview" zoomScaleNormal="80" zoomScaleSheetLayoutView="100" workbookViewId="0">
      <pane xSplit="2" ySplit="4" topLeftCell="C7" activePane="bottomRight" state="frozen"/>
      <selection pane="topRight" activeCell="C1" sqref="C1"/>
      <selection pane="bottomLeft" activeCell="A5" sqref="A5"/>
      <selection pane="bottomRight" activeCell="E46" sqref="E46"/>
    </sheetView>
  </sheetViews>
  <sheetFormatPr defaultColWidth="9" defaultRowHeight="19.5"/>
  <cols>
    <col min="1" max="1" width="11.25" style="2" customWidth="1"/>
    <col min="2" max="2" width="37.25" style="34" customWidth="1"/>
    <col min="3" max="3" width="17.125" style="34" customWidth="1"/>
    <col min="4" max="4" width="14.875" style="2" customWidth="1"/>
    <col min="5" max="5" width="10.5" style="59" bestFit="1" customWidth="1"/>
    <col min="6" max="6" width="19.375" style="99" customWidth="1"/>
    <col min="7" max="7" width="11.625" style="38" bestFit="1" customWidth="1"/>
    <col min="8" max="8" width="12.625" style="97" customWidth="1"/>
    <col min="9" max="9" width="10.5" style="2" customWidth="1"/>
    <col min="10" max="10" width="20.5" style="2" customWidth="1"/>
    <col min="11" max="11" width="10.5" style="59" customWidth="1"/>
    <col min="12" max="12" width="13.875" style="2" customWidth="1"/>
    <col min="13" max="13" width="10.5" style="38" customWidth="1"/>
    <col min="14" max="14" width="20.5" style="99" customWidth="1"/>
    <col min="15" max="15" width="10.5" style="38" customWidth="1"/>
    <col min="16" max="16" width="13.875" style="97" customWidth="1"/>
    <col min="17" max="17" width="10.5" style="2" hidden="1" customWidth="1"/>
    <col min="18" max="18" width="20.625" style="97" hidden="1" customWidth="1"/>
    <col min="19" max="19" width="10.5" style="2" hidden="1" customWidth="1"/>
    <col min="20" max="20" width="12.625" style="99" hidden="1" customWidth="1"/>
    <col min="21" max="21" width="22.75" style="2" bestFit="1" customWidth="1"/>
    <col min="22" max="22" width="20.5" style="2" bestFit="1" customWidth="1"/>
    <col min="23" max="23" width="7.75" style="3" bestFit="1" customWidth="1"/>
    <col min="24" max="24" width="13.875" style="2" bestFit="1" customWidth="1"/>
    <col min="25" max="25" width="22.5" style="106" customWidth="1"/>
    <col min="26" max="26" width="11.625" style="106" customWidth="1"/>
    <col min="27" max="27" width="10" style="106" customWidth="1"/>
    <col min="28" max="28" width="10.75" style="106" customWidth="1"/>
    <col min="29" max="29" width="12.875" style="106" customWidth="1"/>
    <col min="30" max="30" width="11.375" style="106" customWidth="1"/>
    <col min="31" max="31" width="14.375" style="106" customWidth="1"/>
    <col min="32" max="33" width="14.125" style="106" customWidth="1"/>
    <col min="34" max="34" width="14" style="124" bestFit="1" customWidth="1"/>
    <col min="35" max="35" width="9" style="3"/>
    <col min="36" max="37" width="9" style="2"/>
    <col min="38" max="38" width="12.375" style="2" bestFit="1" customWidth="1"/>
    <col min="39" max="16384" width="9" style="3"/>
  </cols>
  <sheetData>
    <row r="1" spans="1:38" ht="38.25" customHeight="1">
      <c r="A1" s="165" t="s">
        <v>1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Z1" s="167" t="s">
        <v>2</v>
      </c>
      <c r="AA1" s="167"/>
      <c r="AB1" s="167"/>
      <c r="AC1" s="167"/>
      <c r="AD1" s="167"/>
      <c r="AE1" s="167"/>
      <c r="AF1" s="167"/>
      <c r="AG1" s="167"/>
      <c r="AH1" s="167"/>
    </row>
    <row r="2" spans="1:38" ht="41.25" customHeight="1">
      <c r="A2" s="156" t="s">
        <v>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8" t="s">
        <v>552</v>
      </c>
      <c r="X2" s="159"/>
      <c r="Z2" s="160" t="s">
        <v>4</v>
      </c>
      <c r="AA2" s="160"/>
      <c r="AB2" s="160"/>
      <c r="AC2" s="160"/>
      <c r="AD2" s="160"/>
      <c r="AE2" s="160"/>
      <c r="AF2" s="160"/>
      <c r="AG2" s="160"/>
      <c r="AH2" s="160"/>
    </row>
    <row r="3" spans="1:38" ht="39.75" customHeight="1">
      <c r="A3" s="168" t="s">
        <v>5</v>
      </c>
      <c r="B3" s="169" t="s">
        <v>6</v>
      </c>
      <c r="C3" s="169" t="s">
        <v>7</v>
      </c>
      <c r="D3" s="168" t="s">
        <v>8</v>
      </c>
      <c r="E3" s="162" t="s">
        <v>9</v>
      </c>
      <c r="F3" s="162"/>
      <c r="G3" s="162"/>
      <c r="H3" s="162"/>
      <c r="I3" s="162" t="s">
        <v>10</v>
      </c>
      <c r="J3" s="162"/>
      <c r="K3" s="162"/>
      <c r="L3" s="162"/>
      <c r="M3" s="162" t="s">
        <v>11</v>
      </c>
      <c r="N3" s="162"/>
      <c r="O3" s="162"/>
      <c r="P3" s="162"/>
      <c r="Q3" s="162" t="s">
        <v>12</v>
      </c>
      <c r="R3" s="162"/>
      <c r="S3" s="162"/>
      <c r="T3" s="162"/>
      <c r="U3" s="161" t="s">
        <v>13</v>
      </c>
      <c r="V3" s="161"/>
      <c r="W3" s="161" t="s">
        <v>14</v>
      </c>
      <c r="X3" s="161" t="s">
        <v>15</v>
      </c>
      <c r="Z3" s="117" t="s">
        <v>16</v>
      </c>
      <c r="AA3" s="117" t="s">
        <v>17</v>
      </c>
      <c r="AB3" s="117" t="s">
        <v>18</v>
      </c>
      <c r="AC3" s="9" t="s">
        <v>19</v>
      </c>
      <c r="AD3" s="117" t="s">
        <v>20</v>
      </c>
      <c r="AE3" s="117" t="s">
        <v>21</v>
      </c>
      <c r="AF3" s="117" t="s">
        <v>22</v>
      </c>
      <c r="AG3" s="117" t="s">
        <v>23</v>
      </c>
      <c r="AH3" s="123" t="s">
        <v>24</v>
      </c>
      <c r="AJ3" s="155" t="s">
        <v>494</v>
      </c>
      <c r="AK3" s="155"/>
      <c r="AL3" s="155"/>
    </row>
    <row r="4" spans="1:38" ht="47.25" customHeight="1">
      <c r="A4" s="168"/>
      <c r="B4" s="169"/>
      <c r="C4" s="169"/>
      <c r="D4" s="168"/>
      <c r="E4" s="35" t="s">
        <v>422</v>
      </c>
      <c r="F4" s="35" t="s">
        <v>27</v>
      </c>
      <c r="G4" s="35" t="s">
        <v>423</v>
      </c>
      <c r="H4" s="35" t="s">
        <v>30</v>
      </c>
      <c r="I4" s="35" t="s">
        <v>422</v>
      </c>
      <c r="J4" s="35" t="s">
        <v>27</v>
      </c>
      <c r="K4" s="35" t="s">
        <v>423</v>
      </c>
      <c r="L4" s="35" t="s">
        <v>30</v>
      </c>
      <c r="M4" s="35" t="s">
        <v>422</v>
      </c>
      <c r="N4" s="35" t="s">
        <v>27</v>
      </c>
      <c r="O4" s="35" t="s">
        <v>423</v>
      </c>
      <c r="P4" s="35" t="s">
        <v>30</v>
      </c>
      <c r="Q4" s="35" t="s">
        <v>422</v>
      </c>
      <c r="R4" s="35" t="s">
        <v>27</v>
      </c>
      <c r="S4" s="35" t="s">
        <v>423</v>
      </c>
      <c r="T4" s="35" t="s">
        <v>30</v>
      </c>
      <c r="U4" s="39" t="s">
        <v>33</v>
      </c>
      <c r="V4" s="39" t="s">
        <v>34</v>
      </c>
      <c r="W4" s="161"/>
      <c r="X4" s="161"/>
      <c r="Z4" s="118">
        <f t="shared" ref="Z4:AH4" si="0">SUM(Z5:Z65)</f>
        <v>9</v>
      </c>
      <c r="AA4" s="118">
        <f t="shared" si="0"/>
        <v>8</v>
      </c>
      <c r="AB4" s="118">
        <f t="shared" si="0"/>
        <v>1</v>
      </c>
      <c r="AC4" s="118">
        <f t="shared" si="0"/>
        <v>0</v>
      </c>
      <c r="AD4" s="118">
        <f t="shared" si="0"/>
        <v>23</v>
      </c>
      <c r="AE4" s="118">
        <f t="shared" si="0"/>
        <v>23</v>
      </c>
      <c r="AF4" s="118">
        <f t="shared" si="0"/>
        <v>0</v>
      </c>
      <c r="AG4" s="118">
        <f t="shared" si="0"/>
        <v>0</v>
      </c>
      <c r="AH4" s="123">
        <f t="shared" si="0"/>
        <v>46</v>
      </c>
      <c r="AJ4" s="5" t="s">
        <v>495</v>
      </c>
      <c r="AK4" s="5" t="s">
        <v>502</v>
      </c>
      <c r="AL4" s="5" t="s">
        <v>496</v>
      </c>
    </row>
    <row r="5" spans="1:38" ht="54.95" customHeight="1">
      <c r="A5" s="12">
        <v>1</v>
      </c>
      <c r="B5" s="13" t="s">
        <v>35</v>
      </c>
      <c r="C5" s="14" t="s">
        <v>36</v>
      </c>
      <c r="D5" s="112" t="s">
        <v>417</v>
      </c>
      <c r="E5" s="27" t="s">
        <v>418</v>
      </c>
      <c r="F5" s="27" t="s">
        <v>39</v>
      </c>
      <c r="G5" s="27" t="s">
        <v>424</v>
      </c>
      <c r="H5" s="27" t="s">
        <v>41</v>
      </c>
      <c r="I5" s="27" t="s">
        <v>42</v>
      </c>
      <c r="J5" s="27" t="s">
        <v>43</v>
      </c>
      <c r="K5" s="27" t="s">
        <v>44</v>
      </c>
      <c r="L5" s="27" t="s">
        <v>45</v>
      </c>
      <c r="M5" s="27" t="s">
        <v>46</v>
      </c>
      <c r="N5" s="27" t="s">
        <v>47</v>
      </c>
      <c r="O5" s="27" t="s">
        <v>48</v>
      </c>
      <c r="P5" s="27" t="s">
        <v>49</v>
      </c>
      <c r="Q5" s="27"/>
      <c r="R5" s="27"/>
      <c r="S5" s="27"/>
      <c r="T5" s="27"/>
      <c r="U5" s="27"/>
      <c r="V5" s="27" t="s">
        <v>448</v>
      </c>
      <c r="W5" s="27"/>
      <c r="X5" s="47"/>
      <c r="Z5" s="119"/>
      <c r="AA5" s="119"/>
      <c r="AB5" s="119"/>
      <c r="AC5" s="119"/>
      <c r="AD5" s="119"/>
      <c r="AE5" s="119">
        <v>1</v>
      </c>
      <c r="AF5" s="119"/>
      <c r="AG5" s="119"/>
      <c r="AH5" s="123">
        <f>SUM(AD5:AG5)</f>
        <v>1</v>
      </c>
      <c r="AJ5" s="5" t="s">
        <v>513</v>
      </c>
      <c r="AK5" s="101" t="s">
        <v>513</v>
      </c>
      <c r="AL5" s="5"/>
    </row>
    <row r="6" spans="1:38" s="42" customFormat="1" ht="54.95" customHeight="1">
      <c r="A6" s="41" t="s">
        <v>51</v>
      </c>
      <c r="B6" s="13" t="s">
        <v>340</v>
      </c>
      <c r="C6" s="14" t="s">
        <v>36</v>
      </c>
      <c r="D6" s="112" t="s">
        <v>60</v>
      </c>
      <c r="E6" s="27" t="s">
        <v>42</v>
      </c>
      <c r="F6" s="27" t="s">
        <v>53</v>
      </c>
      <c r="G6" s="27" t="s">
        <v>60</v>
      </c>
      <c r="H6" s="27" t="s">
        <v>114</v>
      </c>
      <c r="I6" s="27" t="s">
        <v>179</v>
      </c>
      <c r="J6" s="27" t="s">
        <v>180</v>
      </c>
      <c r="K6" s="27" t="s">
        <v>181</v>
      </c>
      <c r="L6" s="27" t="s">
        <v>182</v>
      </c>
      <c r="M6" s="27"/>
      <c r="N6" s="27"/>
      <c r="O6" s="27"/>
      <c r="P6" s="27"/>
      <c r="Q6" s="27"/>
      <c r="R6" s="27"/>
      <c r="S6" s="27"/>
      <c r="T6" s="27"/>
      <c r="U6" s="27"/>
      <c r="V6" s="27" t="s">
        <v>493</v>
      </c>
      <c r="W6" s="27"/>
      <c r="X6" s="47"/>
      <c r="Y6" s="106"/>
      <c r="Z6" s="120"/>
      <c r="AA6" s="120"/>
      <c r="AB6" s="120"/>
      <c r="AC6" s="120"/>
      <c r="AD6" s="120"/>
      <c r="AE6" s="120">
        <v>1</v>
      </c>
      <c r="AF6" s="120"/>
      <c r="AG6" s="120"/>
      <c r="AH6" s="123">
        <f t="shared" ref="AH6:AH65" si="1">SUM(AD6:AG6)</f>
        <v>1</v>
      </c>
      <c r="AJ6" s="101" t="s">
        <v>513</v>
      </c>
      <c r="AK6" s="101" t="s">
        <v>513</v>
      </c>
      <c r="AL6" s="101"/>
    </row>
    <row r="7" spans="1:38" ht="54.95" customHeight="1">
      <c r="A7" s="12">
        <v>2</v>
      </c>
      <c r="B7" s="13" t="s">
        <v>55</v>
      </c>
      <c r="C7" s="14" t="s">
        <v>36</v>
      </c>
      <c r="D7" s="112" t="s">
        <v>417</v>
      </c>
      <c r="E7" s="27" t="s">
        <v>418</v>
      </c>
      <c r="F7" s="27" t="s">
        <v>56</v>
      </c>
      <c r="G7" s="27" t="s">
        <v>424</v>
      </c>
      <c r="H7" s="27" t="s">
        <v>41</v>
      </c>
      <c r="I7" s="27" t="s">
        <v>46</v>
      </c>
      <c r="J7" s="27" t="s">
        <v>57</v>
      </c>
      <c r="K7" s="27" t="s">
        <v>48</v>
      </c>
      <c r="L7" s="27" t="s">
        <v>58</v>
      </c>
      <c r="M7" s="27"/>
      <c r="N7" s="27"/>
      <c r="O7" s="27"/>
      <c r="P7" s="27"/>
      <c r="Q7" s="27"/>
      <c r="R7" s="27"/>
      <c r="S7" s="27"/>
      <c r="T7" s="27"/>
      <c r="U7" s="27"/>
      <c r="V7" s="27" t="s">
        <v>444</v>
      </c>
      <c r="W7" s="27"/>
      <c r="X7" s="47"/>
      <c r="Z7" s="119"/>
      <c r="AA7" s="119"/>
      <c r="AB7" s="119"/>
      <c r="AC7" s="119"/>
      <c r="AD7" s="119"/>
      <c r="AE7" s="119">
        <v>1</v>
      </c>
      <c r="AF7" s="119"/>
      <c r="AG7" s="119"/>
      <c r="AH7" s="123">
        <f t="shared" si="1"/>
        <v>1</v>
      </c>
      <c r="AJ7" s="101" t="s">
        <v>513</v>
      </c>
      <c r="AK7" s="101" t="s">
        <v>513</v>
      </c>
      <c r="AL7" s="135" t="s">
        <v>529</v>
      </c>
    </row>
    <row r="8" spans="1:38" s="42" customFormat="1" ht="54.95" customHeight="1">
      <c r="A8" s="41" t="s">
        <v>115</v>
      </c>
      <c r="B8" s="13" t="s">
        <v>341</v>
      </c>
      <c r="C8" s="14" t="s">
        <v>60</v>
      </c>
      <c r="D8" s="112" t="s">
        <v>60</v>
      </c>
      <c r="E8" s="27" t="s">
        <v>61</v>
      </c>
      <c r="F8" s="27" t="s">
        <v>62</v>
      </c>
      <c r="G8" s="27" t="s">
        <v>116</v>
      </c>
      <c r="H8" s="27" t="s">
        <v>117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 t="s">
        <v>445</v>
      </c>
      <c r="W8" s="27"/>
      <c r="X8" s="47"/>
      <c r="Y8" s="106"/>
      <c r="Z8" s="120"/>
      <c r="AA8" s="120"/>
      <c r="AB8" s="120"/>
      <c r="AC8" s="120"/>
      <c r="AD8" s="120"/>
      <c r="AE8" s="120">
        <v>1</v>
      </c>
      <c r="AF8" s="120"/>
      <c r="AG8" s="120"/>
      <c r="AH8" s="123">
        <f t="shared" si="1"/>
        <v>1</v>
      </c>
      <c r="AJ8" s="101" t="s">
        <v>513</v>
      </c>
      <c r="AK8" s="101" t="s">
        <v>513</v>
      </c>
      <c r="AL8" s="135" t="s">
        <v>529</v>
      </c>
    </row>
    <row r="9" spans="1:38" ht="54.95" customHeight="1">
      <c r="A9" s="41" t="s">
        <v>118</v>
      </c>
      <c r="B9" s="13" t="s">
        <v>71</v>
      </c>
      <c r="C9" s="14" t="s">
        <v>36</v>
      </c>
      <c r="D9" s="112" t="s">
        <v>417</v>
      </c>
      <c r="E9" s="27" t="s">
        <v>418</v>
      </c>
      <c r="F9" s="27" t="s">
        <v>72</v>
      </c>
      <c r="G9" s="27" t="s">
        <v>424</v>
      </c>
      <c r="H9" s="27" t="s">
        <v>41</v>
      </c>
      <c r="I9" s="27" t="s">
        <v>42</v>
      </c>
      <c r="J9" s="27" t="s">
        <v>73</v>
      </c>
      <c r="K9" s="27" t="s">
        <v>74</v>
      </c>
      <c r="L9" s="27" t="s">
        <v>75</v>
      </c>
      <c r="M9" s="27" t="s">
        <v>46</v>
      </c>
      <c r="N9" s="27" t="s">
        <v>76</v>
      </c>
      <c r="O9" s="27" t="s">
        <v>48</v>
      </c>
      <c r="P9" s="27" t="s">
        <v>49</v>
      </c>
      <c r="Q9" s="27"/>
      <c r="R9" s="27"/>
      <c r="S9" s="27"/>
      <c r="T9" s="27"/>
      <c r="U9" s="27"/>
      <c r="V9" s="27" t="s">
        <v>447</v>
      </c>
      <c r="W9" s="27"/>
      <c r="X9" s="47"/>
      <c r="Z9" s="119"/>
      <c r="AA9" s="119"/>
      <c r="AB9" s="119"/>
      <c r="AC9" s="119"/>
      <c r="AD9" s="119"/>
      <c r="AE9" s="119">
        <v>1</v>
      </c>
      <c r="AF9" s="119"/>
      <c r="AG9" s="119"/>
      <c r="AH9" s="123">
        <f t="shared" si="1"/>
        <v>1</v>
      </c>
      <c r="AJ9" s="101" t="s">
        <v>513</v>
      </c>
      <c r="AK9" s="101" t="s">
        <v>513</v>
      </c>
      <c r="AL9" s="135" t="s">
        <v>530</v>
      </c>
    </row>
    <row r="10" spans="1:38" s="42" customFormat="1" ht="54.95" customHeight="1">
      <c r="A10" s="41" t="s">
        <v>335</v>
      </c>
      <c r="B10" s="13" t="s">
        <v>342</v>
      </c>
      <c r="C10" s="14" t="s">
        <v>36</v>
      </c>
      <c r="D10" s="112" t="s">
        <v>60</v>
      </c>
      <c r="E10" s="27" t="s">
        <v>61</v>
      </c>
      <c r="F10" s="27" t="s">
        <v>79</v>
      </c>
      <c r="G10" s="27" t="s">
        <v>60</v>
      </c>
      <c r="H10" s="27" t="s">
        <v>139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 t="s">
        <v>446</v>
      </c>
      <c r="W10" s="27"/>
      <c r="X10" s="47"/>
      <c r="Y10" s="106"/>
      <c r="Z10" s="120"/>
      <c r="AA10" s="120"/>
      <c r="AB10" s="120"/>
      <c r="AC10" s="120"/>
      <c r="AD10" s="120"/>
      <c r="AE10" s="120">
        <v>1</v>
      </c>
      <c r="AF10" s="120"/>
      <c r="AG10" s="120"/>
      <c r="AH10" s="123">
        <f t="shared" si="1"/>
        <v>1</v>
      </c>
      <c r="AJ10" s="101" t="s">
        <v>513</v>
      </c>
      <c r="AK10" s="101" t="s">
        <v>513</v>
      </c>
      <c r="AL10" s="135" t="s">
        <v>530</v>
      </c>
    </row>
    <row r="11" spans="1:38" s="94" customFormat="1" ht="54.95" customHeight="1">
      <c r="A11" s="41" t="s">
        <v>334</v>
      </c>
      <c r="B11" s="60" t="s">
        <v>63</v>
      </c>
      <c r="C11" s="14" t="s">
        <v>64</v>
      </c>
      <c r="D11" s="112" t="s">
        <v>136</v>
      </c>
      <c r="E11" s="27" t="s">
        <v>252</v>
      </c>
      <c r="F11" s="27" t="s">
        <v>386</v>
      </c>
      <c r="G11" s="27" t="s">
        <v>254</v>
      </c>
      <c r="H11" s="27" t="s">
        <v>255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 t="s">
        <v>428</v>
      </c>
      <c r="V11" s="27"/>
      <c r="W11" s="27"/>
      <c r="X11" s="47"/>
      <c r="Y11" s="106"/>
      <c r="Z11" s="121"/>
      <c r="AA11" s="121"/>
      <c r="AB11" s="121"/>
      <c r="AC11" s="121"/>
      <c r="AD11" s="121">
        <v>1</v>
      </c>
      <c r="AE11" s="121"/>
      <c r="AF11" s="121"/>
      <c r="AG11" s="121"/>
      <c r="AH11" s="123">
        <f t="shared" si="1"/>
        <v>1</v>
      </c>
      <c r="AJ11" s="102"/>
      <c r="AK11" s="102"/>
      <c r="AL11" s="102"/>
    </row>
    <row r="12" spans="1:38" ht="12" customHeight="1"/>
    <row r="13" spans="1:38" s="42" customFormat="1" ht="54.95" customHeight="1">
      <c r="A13" s="41" t="s">
        <v>311</v>
      </c>
      <c r="B13" s="60" t="s">
        <v>333</v>
      </c>
      <c r="C13" s="14" t="s">
        <v>64</v>
      </c>
      <c r="D13" s="112" t="s">
        <v>133</v>
      </c>
      <c r="E13" s="27" t="s">
        <v>234</v>
      </c>
      <c r="F13" s="27" t="s">
        <v>561</v>
      </c>
      <c r="G13" s="27" t="s">
        <v>232</v>
      </c>
      <c r="H13" s="27" t="s">
        <v>231</v>
      </c>
      <c r="I13" s="27" t="s">
        <v>230</v>
      </c>
      <c r="J13" s="27" t="s">
        <v>584</v>
      </c>
      <c r="K13" s="27" t="s">
        <v>256</v>
      </c>
      <c r="L13" s="27" t="s">
        <v>585</v>
      </c>
      <c r="M13" s="27"/>
      <c r="N13" s="27"/>
      <c r="O13" s="27"/>
      <c r="P13" s="27"/>
      <c r="Q13" s="27"/>
      <c r="R13" s="27"/>
      <c r="S13" s="27"/>
      <c r="T13" s="27"/>
      <c r="U13" s="27" t="s">
        <v>429</v>
      </c>
      <c r="V13" s="27"/>
      <c r="W13" s="27"/>
      <c r="X13" s="47"/>
      <c r="Y13" s="106" t="s">
        <v>474</v>
      </c>
      <c r="Z13" s="120"/>
      <c r="AA13" s="120"/>
      <c r="AB13" s="120"/>
      <c r="AC13" s="120"/>
      <c r="AD13" s="120">
        <v>1</v>
      </c>
      <c r="AE13" s="120"/>
      <c r="AF13" s="120"/>
      <c r="AG13" s="120"/>
      <c r="AH13" s="123">
        <f t="shared" si="1"/>
        <v>1</v>
      </c>
      <c r="AJ13" s="101" t="s">
        <v>513</v>
      </c>
      <c r="AK13" s="101" t="s">
        <v>513</v>
      </c>
      <c r="AL13" s="101"/>
    </row>
    <row r="14" spans="1:38" s="42" customFormat="1" ht="54.95" customHeight="1">
      <c r="A14" s="41" t="s">
        <v>586</v>
      </c>
      <c r="B14" s="60" t="s">
        <v>587</v>
      </c>
      <c r="C14" s="14" t="s">
        <v>588</v>
      </c>
      <c r="D14" s="112" t="s">
        <v>589</v>
      </c>
      <c r="E14" s="27" t="s">
        <v>590</v>
      </c>
      <c r="F14" s="27" t="s">
        <v>591</v>
      </c>
      <c r="G14" s="27" t="s">
        <v>592</v>
      </c>
      <c r="H14" s="27" t="s">
        <v>593</v>
      </c>
      <c r="I14" s="27" t="s">
        <v>594</v>
      </c>
      <c r="J14" s="27" t="s">
        <v>595</v>
      </c>
      <c r="K14" s="27" t="s">
        <v>596</v>
      </c>
      <c r="L14" s="27" t="s">
        <v>597</v>
      </c>
      <c r="M14" s="27"/>
      <c r="N14" s="27"/>
      <c r="O14" s="27"/>
      <c r="P14" s="27"/>
      <c r="Q14" s="27"/>
      <c r="R14" s="27"/>
      <c r="S14" s="27"/>
      <c r="T14" s="27"/>
      <c r="U14" s="27" t="s">
        <v>599</v>
      </c>
      <c r="V14" s="27"/>
      <c r="W14" s="27"/>
      <c r="X14" s="47"/>
      <c r="Y14" s="106" t="s">
        <v>598</v>
      </c>
      <c r="Z14" s="120">
        <v>1</v>
      </c>
      <c r="AA14" s="120">
        <v>1</v>
      </c>
      <c r="AB14" s="120"/>
      <c r="AC14" s="120"/>
      <c r="AD14" s="120"/>
      <c r="AE14" s="120"/>
      <c r="AF14" s="120"/>
      <c r="AG14" s="120"/>
      <c r="AH14" s="123">
        <f t="shared" si="1"/>
        <v>0</v>
      </c>
      <c r="AJ14" s="101"/>
      <c r="AK14" s="101"/>
      <c r="AL14" s="101"/>
    </row>
    <row r="15" spans="1:38" s="42" customFormat="1" ht="54.95" customHeight="1">
      <c r="A15" s="41" t="s">
        <v>312</v>
      </c>
      <c r="B15" s="60" t="s">
        <v>280</v>
      </c>
      <c r="C15" s="14" t="s">
        <v>64</v>
      </c>
      <c r="D15" s="112" t="s">
        <v>136</v>
      </c>
      <c r="E15" s="46" t="s">
        <v>320</v>
      </c>
      <c r="F15" s="47" t="s">
        <v>332</v>
      </c>
      <c r="G15" s="27" t="s">
        <v>331</v>
      </c>
      <c r="H15" s="27" t="s">
        <v>330</v>
      </c>
      <c r="I15" s="27" t="s">
        <v>250</v>
      </c>
      <c r="J15" s="27" t="s">
        <v>336</v>
      </c>
      <c r="K15" s="27" t="s">
        <v>337</v>
      </c>
      <c r="L15" s="27" t="s">
        <v>338</v>
      </c>
      <c r="M15" s="27"/>
      <c r="N15" s="27"/>
      <c r="O15" s="27"/>
      <c r="P15" s="27"/>
      <c r="Q15" s="27"/>
      <c r="R15" s="27"/>
      <c r="S15" s="27"/>
      <c r="T15" s="27"/>
      <c r="U15" s="27" t="s">
        <v>600</v>
      </c>
      <c r="V15" s="27"/>
      <c r="W15" s="27"/>
      <c r="X15" s="47"/>
      <c r="Y15" s="106" t="s">
        <v>580</v>
      </c>
      <c r="Z15" s="120"/>
      <c r="AA15" s="120"/>
      <c r="AB15" s="120"/>
      <c r="AC15" s="120"/>
      <c r="AD15" s="120">
        <v>1</v>
      </c>
      <c r="AE15" s="120"/>
      <c r="AF15" s="120"/>
      <c r="AG15" s="120"/>
      <c r="AH15" s="123">
        <f t="shared" si="1"/>
        <v>1</v>
      </c>
      <c r="AJ15" s="101" t="s">
        <v>513</v>
      </c>
      <c r="AK15" s="101" t="s">
        <v>513</v>
      </c>
      <c r="AL15" s="101"/>
    </row>
    <row r="16" spans="1:38" s="42" customFormat="1" ht="54.95" customHeight="1">
      <c r="A16" s="41" t="s">
        <v>313</v>
      </c>
      <c r="B16" s="13" t="s">
        <v>214</v>
      </c>
      <c r="C16" s="14" t="s">
        <v>64</v>
      </c>
      <c r="D16" s="112" t="s">
        <v>119</v>
      </c>
      <c r="E16" s="27" t="s">
        <v>126</v>
      </c>
      <c r="F16" s="27" t="s">
        <v>127</v>
      </c>
      <c r="G16" s="27" t="s">
        <v>128</v>
      </c>
      <c r="H16" s="27" t="s">
        <v>343</v>
      </c>
      <c r="I16" s="27" t="s">
        <v>130</v>
      </c>
      <c r="J16" s="27" t="s">
        <v>131</v>
      </c>
      <c r="K16" s="27" t="s">
        <v>186</v>
      </c>
      <c r="L16" s="27" t="s">
        <v>187</v>
      </c>
      <c r="M16" s="27" t="s">
        <v>188</v>
      </c>
      <c r="N16" s="43" t="s">
        <v>189</v>
      </c>
      <c r="O16" s="27" t="s">
        <v>181</v>
      </c>
      <c r="P16" s="44" t="s">
        <v>344</v>
      </c>
      <c r="Q16" s="27"/>
      <c r="R16" s="27"/>
      <c r="S16" s="27"/>
      <c r="T16" s="27"/>
      <c r="U16" s="44" t="s">
        <v>430</v>
      </c>
      <c r="V16" s="44"/>
      <c r="W16" s="27"/>
      <c r="X16" s="47"/>
      <c r="Y16" s="106"/>
      <c r="Z16" s="120"/>
      <c r="AA16" s="120"/>
      <c r="AB16" s="120"/>
      <c r="AC16" s="120"/>
      <c r="AD16" s="120">
        <v>1</v>
      </c>
      <c r="AE16" s="120"/>
      <c r="AF16" s="120"/>
      <c r="AG16" s="120"/>
      <c r="AH16" s="123">
        <f t="shared" si="1"/>
        <v>1</v>
      </c>
      <c r="AJ16" s="101" t="s">
        <v>513</v>
      </c>
      <c r="AK16" s="101" t="s">
        <v>513</v>
      </c>
      <c r="AL16" s="101"/>
    </row>
    <row r="17" spans="1:38" s="94" customFormat="1" ht="54.95" customHeight="1">
      <c r="A17" s="41" t="s">
        <v>314</v>
      </c>
      <c r="B17" s="13" t="s">
        <v>393</v>
      </c>
      <c r="C17" s="14" t="s">
        <v>64</v>
      </c>
      <c r="D17" s="112" t="s">
        <v>296</v>
      </c>
      <c r="E17" s="27" t="s">
        <v>345</v>
      </c>
      <c r="F17" s="27" t="s">
        <v>346</v>
      </c>
      <c r="G17" s="27" t="s">
        <v>347</v>
      </c>
      <c r="H17" s="27" t="s">
        <v>348</v>
      </c>
      <c r="I17" s="27" t="s">
        <v>370</v>
      </c>
      <c r="J17" s="27" t="s">
        <v>375</v>
      </c>
      <c r="K17" s="27" t="s">
        <v>376</v>
      </c>
      <c r="L17" s="27" t="s">
        <v>377</v>
      </c>
      <c r="M17" s="27"/>
      <c r="N17" s="27"/>
      <c r="O17" s="27"/>
      <c r="P17" s="27"/>
      <c r="Q17" s="27"/>
      <c r="R17" s="27"/>
      <c r="S17" s="27"/>
      <c r="T17" s="27"/>
      <c r="U17" s="44" t="s">
        <v>431</v>
      </c>
      <c r="V17" s="27"/>
      <c r="W17" s="27"/>
      <c r="X17" s="47"/>
      <c r="Y17" s="106"/>
      <c r="Z17" s="121"/>
      <c r="AA17" s="121"/>
      <c r="AB17" s="121"/>
      <c r="AC17" s="121"/>
      <c r="AD17" s="121">
        <v>1</v>
      </c>
      <c r="AE17" s="121"/>
      <c r="AF17" s="121"/>
      <c r="AG17" s="121"/>
      <c r="AH17" s="123">
        <f t="shared" si="1"/>
        <v>1</v>
      </c>
      <c r="AJ17" s="101" t="s">
        <v>513</v>
      </c>
      <c r="AK17" s="101" t="s">
        <v>513</v>
      </c>
      <c r="AL17" s="102"/>
    </row>
    <row r="18" spans="1:38" s="94" customFormat="1" ht="54.95" customHeight="1">
      <c r="A18" s="41" t="s">
        <v>315</v>
      </c>
      <c r="B18" s="13" t="s">
        <v>69</v>
      </c>
      <c r="C18" s="14" t="s">
        <v>64</v>
      </c>
      <c r="D18" s="112" t="s">
        <v>250</v>
      </c>
      <c r="E18" s="27" t="s">
        <v>258</v>
      </c>
      <c r="F18" s="27" t="s">
        <v>259</v>
      </c>
      <c r="G18" s="27" t="s">
        <v>260</v>
      </c>
      <c r="H18" s="27" t="s">
        <v>261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44" t="s">
        <v>438</v>
      </c>
      <c r="V18" s="27"/>
      <c r="W18" s="27"/>
      <c r="X18" s="47"/>
      <c r="Y18" s="106" t="s">
        <v>576</v>
      </c>
      <c r="Z18" s="121">
        <v>1</v>
      </c>
      <c r="AA18" s="121"/>
      <c r="AB18" s="121">
        <v>1</v>
      </c>
      <c r="AC18" s="121"/>
      <c r="AD18" s="121"/>
      <c r="AE18" s="121"/>
      <c r="AF18" s="121"/>
      <c r="AG18" s="121"/>
      <c r="AH18" s="123">
        <f t="shared" si="1"/>
        <v>0</v>
      </c>
      <c r="AJ18" s="102"/>
      <c r="AK18" s="102"/>
      <c r="AL18" s="102"/>
    </row>
    <row r="19" spans="1:38" s="26" customFormat="1" ht="54.95" customHeight="1">
      <c r="A19" s="41" t="s">
        <v>316</v>
      </c>
      <c r="B19" s="13" t="s">
        <v>70</v>
      </c>
      <c r="C19" s="14" t="s">
        <v>64</v>
      </c>
      <c r="D19" s="112" t="s">
        <v>368</v>
      </c>
      <c r="E19" s="27" t="s">
        <v>385</v>
      </c>
      <c r="F19" s="27" t="s">
        <v>387</v>
      </c>
      <c r="G19" s="27" t="s">
        <v>397</v>
      </c>
      <c r="H19" s="27" t="s">
        <v>398</v>
      </c>
      <c r="I19" s="27" t="s">
        <v>409</v>
      </c>
      <c r="J19" s="27" t="s">
        <v>410</v>
      </c>
      <c r="K19" s="46" t="s">
        <v>469</v>
      </c>
      <c r="L19" s="47" t="s">
        <v>472</v>
      </c>
      <c r="M19" s="27"/>
      <c r="N19" s="27"/>
      <c r="O19" s="27"/>
      <c r="P19" s="27"/>
      <c r="Q19" s="27"/>
      <c r="R19" s="27"/>
      <c r="S19" s="27"/>
      <c r="T19" s="27"/>
      <c r="U19" s="44" t="s">
        <v>473</v>
      </c>
      <c r="V19" s="27"/>
      <c r="W19" s="27"/>
      <c r="X19" s="47"/>
      <c r="Y19" s="106" t="s">
        <v>577</v>
      </c>
      <c r="Z19" s="119"/>
      <c r="AA19" s="119"/>
      <c r="AB19" s="119"/>
      <c r="AC19" s="119"/>
      <c r="AD19" s="119">
        <v>1</v>
      </c>
      <c r="AE19" s="119"/>
      <c r="AF19" s="119"/>
      <c r="AG19" s="119"/>
      <c r="AH19" s="123">
        <f t="shared" si="1"/>
        <v>1</v>
      </c>
      <c r="AJ19" s="101" t="s">
        <v>513</v>
      </c>
      <c r="AK19" s="101" t="s">
        <v>513</v>
      </c>
      <c r="AL19" s="125"/>
    </row>
    <row r="20" spans="1:38" s="42" customFormat="1" ht="54.95" customHeight="1">
      <c r="A20" s="12">
        <v>13</v>
      </c>
      <c r="B20" s="13" t="s">
        <v>80</v>
      </c>
      <c r="C20" s="14" t="s">
        <v>81</v>
      </c>
      <c r="D20" s="112" t="s">
        <v>419</v>
      </c>
      <c r="E20" s="27" t="s">
        <v>83</v>
      </c>
      <c r="F20" s="27" t="s">
        <v>84</v>
      </c>
      <c r="G20" s="27" t="s">
        <v>140</v>
      </c>
      <c r="H20" s="27" t="s">
        <v>141</v>
      </c>
      <c r="I20" s="27" t="s">
        <v>142</v>
      </c>
      <c r="J20" s="27" t="s">
        <v>143</v>
      </c>
      <c r="K20" s="27" t="s">
        <v>144</v>
      </c>
      <c r="L20" s="27" t="s">
        <v>145</v>
      </c>
      <c r="M20" s="27"/>
      <c r="N20" s="27"/>
      <c r="O20" s="27"/>
      <c r="P20" s="27"/>
      <c r="Q20" s="27"/>
      <c r="R20" s="27"/>
      <c r="S20" s="27"/>
      <c r="T20" s="27"/>
      <c r="U20" s="27"/>
      <c r="V20" s="27" t="s">
        <v>449</v>
      </c>
      <c r="W20" s="27"/>
      <c r="X20" s="47"/>
      <c r="Y20" s="106"/>
      <c r="Z20" s="120"/>
      <c r="AA20" s="120"/>
      <c r="AB20" s="120"/>
      <c r="AC20" s="120"/>
      <c r="AD20" s="120"/>
      <c r="AE20" s="120">
        <v>1</v>
      </c>
      <c r="AF20" s="120"/>
      <c r="AG20" s="120"/>
      <c r="AH20" s="123">
        <f t="shared" si="1"/>
        <v>1</v>
      </c>
      <c r="AJ20" s="101" t="s">
        <v>513</v>
      </c>
      <c r="AK20" s="101" t="s">
        <v>513</v>
      </c>
      <c r="AL20" s="101"/>
    </row>
    <row r="21" spans="1:38" s="42" customFormat="1" ht="54.95" customHeight="1">
      <c r="A21" s="12">
        <v>14</v>
      </c>
      <c r="B21" s="13" t="s">
        <v>85</v>
      </c>
      <c r="C21" s="14" t="s">
        <v>86</v>
      </c>
      <c r="D21" s="112" t="s">
        <v>420</v>
      </c>
      <c r="E21" s="45" t="s">
        <v>88</v>
      </c>
      <c r="F21" s="27" t="s">
        <v>89</v>
      </c>
      <c r="G21" s="46" t="s">
        <v>146</v>
      </c>
      <c r="H21" s="47" t="s">
        <v>147</v>
      </c>
      <c r="I21" s="45" t="s">
        <v>142</v>
      </c>
      <c r="J21" s="27" t="s">
        <v>148</v>
      </c>
      <c r="K21" s="27" t="s">
        <v>142</v>
      </c>
      <c r="L21" s="27" t="s">
        <v>193</v>
      </c>
      <c r="M21" s="27"/>
      <c r="N21" s="27"/>
      <c r="O21" s="27"/>
      <c r="P21" s="27"/>
      <c r="Q21" s="27"/>
      <c r="R21" s="27"/>
      <c r="S21" s="27"/>
      <c r="T21" s="27"/>
      <c r="U21" s="27"/>
      <c r="V21" s="27" t="s">
        <v>450</v>
      </c>
      <c r="W21" s="27"/>
      <c r="X21" s="47"/>
      <c r="Y21" s="106"/>
      <c r="Z21" s="120"/>
      <c r="AA21" s="120"/>
      <c r="AB21" s="120"/>
      <c r="AC21" s="120"/>
      <c r="AD21" s="120"/>
      <c r="AE21" s="120">
        <v>1</v>
      </c>
      <c r="AF21" s="120"/>
      <c r="AG21" s="120"/>
      <c r="AH21" s="123">
        <f t="shared" si="1"/>
        <v>1</v>
      </c>
      <c r="AJ21" s="101" t="s">
        <v>513</v>
      </c>
      <c r="AK21" s="101" t="s">
        <v>513</v>
      </c>
      <c r="AL21" s="101"/>
    </row>
    <row r="22" spans="1:38" s="42" customFormat="1" ht="54.95" customHeight="1">
      <c r="A22" s="12">
        <v>15</v>
      </c>
      <c r="B22" s="60" t="s">
        <v>329</v>
      </c>
      <c r="C22" s="14" t="s">
        <v>54</v>
      </c>
      <c r="D22" s="112" t="s">
        <v>122</v>
      </c>
      <c r="E22" s="27" t="s">
        <v>116</v>
      </c>
      <c r="F22" s="27" t="s">
        <v>149</v>
      </c>
      <c r="G22" s="27" t="s">
        <v>150</v>
      </c>
      <c r="H22" s="27" t="s">
        <v>151</v>
      </c>
      <c r="I22" s="27" t="s">
        <v>195</v>
      </c>
      <c r="J22" s="27" t="s">
        <v>196</v>
      </c>
      <c r="K22" s="27" t="s">
        <v>197</v>
      </c>
      <c r="L22" s="27" t="s">
        <v>198</v>
      </c>
      <c r="M22" s="27" t="s">
        <v>402</v>
      </c>
      <c r="N22" s="27" t="s">
        <v>403</v>
      </c>
      <c r="O22" s="27" t="s">
        <v>404</v>
      </c>
      <c r="P22" s="27"/>
      <c r="Q22" s="27"/>
      <c r="R22" s="27"/>
      <c r="S22" s="27"/>
      <c r="T22" s="27"/>
      <c r="U22" s="27"/>
      <c r="V22" s="27" t="s">
        <v>451</v>
      </c>
      <c r="W22" s="27"/>
      <c r="X22" s="47"/>
      <c r="Y22" s="106"/>
      <c r="Z22" s="120"/>
      <c r="AA22" s="120"/>
      <c r="AB22" s="120"/>
      <c r="AC22" s="120"/>
      <c r="AD22" s="120"/>
      <c r="AE22" s="120">
        <v>1</v>
      </c>
      <c r="AF22" s="120"/>
      <c r="AG22" s="120"/>
      <c r="AH22" s="123">
        <f t="shared" si="1"/>
        <v>1</v>
      </c>
      <c r="AJ22" s="101" t="s">
        <v>513</v>
      </c>
      <c r="AK22" s="101" t="s">
        <v>513</v>
      </c>
      <c r="AL22" s="101"/>
    </row>
    <row r="23" spans="1:38" s="42" customFormat="1" ht="54.95" customHeight="1">
      <c r="A23" s="12">
        <v>16</v>
      </c>
      <c r="B23" s="13" t="s">
        <v>91</v>
      </c>
      <c r="C23" s="14" t="s">
        <v>92</v>
      </c>
      <c r="D23" s="112" t="s">
        <v>421</v>
      </c>
      <c r="E23" s="27" t="s">
        <v>142</v>
      </c>
      <c r="F23" s="27" t="s">
        <v>152</v>
      </c>
      <c r="G23" s="27" t="s">
        <v>153</v>
      </c>
      <c r="H23" s="27" t="s">
        <v>154</v>
      </c>
      <c r="I23" s="27" t="s">
        <v>116</v>
      </c>
      <c r="J23" s="27" t="s">
        <v>155</v>
      </c>
      <c r="K23" s="27" t="s">
        <v>156</v>
      </c>
      <c r="L23" s="27" t="s">
        <v>157</v>
      </c>
      <c r="M23" s="27"/>
      <c r="N23" s="27"/>
      <c r="O23" s="27"/>
      <c r="P23" s="27"/>
      <c r="Q23" s="27"/>
      <c r="R23" s="27"/>
      <c r="S23" s="27"/>
      <c r="T23" s="27"/>
      <c r="U23" s="27"/>
      <c r="V23" s="27" t="s">
        <v>452</v>
      </c>
      <c r="W23" s="27"/>
      <c r="X23" s="47"/>
      <c r="Y23" s="106"/>
      <c r="Z23" s="120"/>
      <c r="AA23" s="120"/>
      <c r="AB23" s="120"/>
      <c r="AC23" s="120"/>
      <c r="AD23" s="120"/>
      <c r="AE23" s="120">
        <v>1</v>
      </c>
      <c r="AF23" s="120"/>
      <c r="AG23" s="120"/>
      <c r="AH23" s="123">
        <f t="shared" si="1"/>
        <v>1</v>
      </c>
      <c r="AJ23" s="101" t="s">
        <v>513</v>
      </c>
      <c r="AK23" s="101" t="s">
        <v>513</v>
      </c>
      <c r="AL23" s="101"/>
    </row>
    <row r="24" spans="1:38" ht="54.95" customHeight="1">
      <c r="A24" s="12">
        <v>17</v>
      </c>
      <c r="B24" s="13" t="s">
        <v>94</v>
      </c>
      <c r="C24" s="14" t="s">
        <v>36</v>
      </c>
      <c r="D24" s="112" t="s">
        <v>417</v>
      </c>
      <c r="E24" s="27" t="s">
        <v>418</v>
      </c>
      <c r="F24" s="27" t="s">
        <v>95</v>
      </c>
      <c r="G24" s="27" t="s">
        <v>424</v>
      </c>
      <c r="H24" s="27" t="s">
        <v>41</v>
      </c>
      <c r="I24" s="27" t="s">
        <v>46</v>
      </c>
      <c r="J24" s="27" t="s">
        <v>96</v>
      </c>
      <c r="K24" s="27" t="s">
        <v>48</v>
      </c>
      <c r="L24" s="27" t="s">
        <v>58</v>
      </c>
      <c r="M24" s="27"/>
      <c r="N24" s="27"/>
      <c r="O24" s="27"/>
      <c r="P24" s="27"/>
      <c r="Q24" s="27"/>
      <c r="R24" s="27"/>
      <c r="S24" s="27"/>
      <c r="T24" s="27"/>
      <c r="U24" s="27"/>
      <c r="V24" s="27" t="s">
        <v>454</v>
      </c>
      <c r="W24" s="27"/>
      <c r="X24" s="47"/>
      <c r="Z24" s="119"/>
      <c r="AA24" s="119"/>
      <c r="AB24" s="119"/>
      <c r="AC24" s="119"/>
      <c r="AD24" s="119"/>
      <c r="AE24" s="119">
        <v>1</v>
      </c>
      <c r="AF24" s="119"/>
      <c r="AG24" s="119"/>
      <c r="AH24" s="123">
        <f t="shared" si="1"/>
        <v>1</v>
      </c>
      <c r="AJ24" s="101" t="s">
        <v>513</v>
      </c>
      <c r="AK24" s="5" t="s">
        <v>513</v>
      </c>
      <c r="AL24" s="135" t="s">
        <v>530</v>
      </c>
    </row>
    <row r="25" spans="1:38" s="42" customFormat="1" ht="54.95" customHeight="1">
      <c r="A25" s="12">
        <v>18</v>
      </c>
      <c r="B25" s="13" t="s">
        <v>98</v>
      </c>
      <c r="C25" s="14" t="s">
        <v>36</v>
      </c>
      <c r="D25" s="112" t="s">
        <v>417</v>
      </c>
      <c r="E25" s="27" t="s">
        <v>418</v>
      </c>
      <c r="F25" s="27" t="s">
        <v>99</v>
      </c>
      <c r="G25" s="27" t="s">
        <v>424</v>
      </c>
      <c r="H25" s="27" t="s">
        <v>41</v>
      </c>
      <c r="I25" s="46" t="s">
        <v>144</v>
      </c>
      <c r="J25" s="47" t="s">
        <v>158</v>
      </c>
      <c r="K25" s="27" t="s">
        <v>159</v>
      </c>
      <c r="L25" s="27" t="s">
        <v>160</v>
      </c>
      <c r="M25" s="27"/>
      <c r="N25" s="27"/>
      <c r="O25" s="27"/>
      <c r="P25" s="27"/>
      <c r="Q25" s="27"/>
      <c r="R25" s="27"/>
      <c r="S25" s="27"/>
      <c r="T25" s="27"/>
      <c r="U25" s="27"/>
      <c r="V25" s="27" t="s">
        <v>453</v>
      </c>
      <c r="W25" s="27"/>
      <c r="X25" s="47"/>
      <c r="Y25" s="106"/>
      <c r="Z25" s="120"/>
      <c r="AA25" s="120"/>
      <c r="AB25" s="120"/>
      <c r="AC25" s="120"/>
      <c r="AD25" s="120"/>
      <c r="AE25" s="120">
        <v>1</v>
      </c>
      <c r="AF25" s="120"/>
      <c r="AG25" s="120"/>
      <c r="AH25" s="123">
        <f t="shared" si="1"/>
        <v>1</v>
      </c>
      <c r="AJ25" s="101" t="s">
        <v>513</v>
      </c>
      <c r="AK25" s="101" t="s">
        <v>513</v>
      </c>
      <c r="AL25" s="101"/>
    </row>
    <row r="26" spans="1:38" s="48" customFormat="1" ht="54.95" customHeight="1">
      <c r="A26" s="12">
        <v>19</v>
      </c>
      <c r="B26" s="13" t="s">
        <v>100</v>
      </c>
      <c r="C26" s="14" t="s">
        <v>92</v>
      </c>
      <c r="D26" s="112" t="s">
        <v>421</v>
      </c>
      <c r="E26" s="27" t="s">
        <v>144</v>
      </c>
      <c r="F26" s="27" t="s">
        <v>161</v>
      </c>
      <c r="G26" s="27" t="s">
        <v>150</v>
      </c>
      <c r="H26" s="27" t="s">
        <v>162</v>
      </c>
      <c r="I26" s="27" t="s">
        <v>130</v>
      </c>
      <c r="J26" s="27" t="s">
        <v>163</v>
      </c>
      <c r="K26" s="27" t="s">
        <v>156</v>
      </c>
      <c r="L26" s="27" t="s">
        <v>164</v>
      </c>
      <c r="M26" s="27" t="s">
        <v>165</v>
      </c>
      <c r="N26" s="27" t="s">
        <v>166</v>
      </c>
      <c r="O26" s="27" t="s">
        <v>201</v>
      </c>
      <c r="P26" s="27" t="s">
        <v>202</v>
      </c>
      <c r="Q26" s="27"/>
      <c r="R26" s="27"/>
      <c r="S26" s="27"/>
      <c r="T26" s="27"/>
      <c r="U26" s="27" t="s">
        <v>432</v>
      </c>
      <c r="V26" s="27"/>
      <c r="W26" s="27"/>
      <c r="X26" s="27"/>
      <c r="Y26" s="107"/>
      <c r="Z26" s="120"/>
      <c r="AA26" s="122"/>
      <c r="AB26" s="122"/>
      <c r="AC26" s="122"/>
      <c r="AD26" s="122">
        <v>1</v>
      </c>
      <c r="AE26" s="122"/>
      <c r="AF26" s="122"/>
      <c r="AG26" s="122"/>
      <c r="AH26" s="123">
        <f t="shared" si="1"/>
        <v>1</v>
      </c>
      <c r="AJ26" s="101" t="s">
        <v>513</v>
      </c>
      <c r="AK26" s="101" t="s">
        <v>513</v>
      </c>
      <c r="AL26" s="126"/>
    </row>
    <row r="27" spans="1:38" s="42" customFormat="1" ht="54.95" customHeight="1">
      <c r="A27" s="61">
        <v>20</v>
      </c>
      <c r="B27" s="62" t="s">
        <v>281</v>
      </c>
      <c r="C27" s="63" t="s">
        <v>54</v>
      </c>
      <c r="D27" s="114" t="s">
        <v>122</v>
      </c>
      <c r="E27" s="65" t="s">
        <v>165</v>
      </c>
      <c r="F27" s="65" t="s">
        <v>167</v>
      </c>
      <c r="G27" s="65" t="s">
        <v>201</v>
      </c>
      <c r="H27" s="65" t="s">
        <v>203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65" t="s">
        <v>433</v>
      </c>
      <c r="V27" s="65"/>
      <c r="W27" s="65"/>
      <c r="X27" s="109"/>
      <c r="Y27" s="106"/>
      <c r="Z27" s="120"/>
      <c r="AA27" s="120"/>
      <c r="AB27" s="120"/>
      <c r="AC27" s="120"/>
      <c r="AD27" s="120">
        <v>1</v>
      </c>
      <c r="AE27" s="120"/>
      <c r="AF27" s="120"/>
      <c r="AG27" s="120"/>
      <c r="AH27" s="123">
        <f t="shared" si="1"/>
        <v>1</v>
      </c>
      <c r="AJ27" s="101" t="s">
        <v>513</v>
      </c>
      <c r="AK27" s="101" t="s">
        <v>513</v>
      </c>
      <c r="AL27" s="101"/>
    </row>
    <row r="28" spans="1:38" s="42" customFormat="1" ht="54.95" customHeight="1">
      <c r="A28" s="12">
        <v>21</v>
      </c>
      <c r="B28" s="29" t="s">
        <v>514</v>
      </c>
      <c r="C28" s="30" t="s">
        <v>54</v>
      </c>
      <c r="D28" s="112" t="s">
        <v>44</v>
      </c>
      <c r="E28" s="27" t="s">
        <v>42</v>
      </c>
      <c r="F28" s="27" t="s">
        <v>103</v>
      </c>
      <c r="G28" s="27" t="s">
        <v>74</v>
      </c>
      <c r="H28" s="27" t="s">
        <v>104</v>
      </c>
      <c r="I28" s="27" t="s">
        <v>105</v>
      </c>
      <c r="J28" s="27" t="s">
        <v>106</v>
      </c>
      <c r="K28" s="27" t="s">
        <v>88</v>
      </c>
      <c r="L28" s="27" t="s">
        <v>107</v>
      </c>
      <c r="M28" s="27"/>
      <c r="N28" s="27"/>
      <c r="O28" s="27"/>
      <c r="P28" s="27"/>
      <c r="Q28" s="27"/>
      <c r="R28" s="27"/>
      <c r="S28" s="27"/>
      <c r="T28" s="27"/>
      <c r="U28" s="27"/>
      <c r="V28" s="27" t="s">
        <v>455</v>
      </c>
      <c r="W28" s="27"/>
      <c r="X28" s="47"/>
      <c r="Y28" s="106"/>
      <c r="Z28" s="120"/>
      <c r="AA28" s="120"/>
      <c r="AB28" s="120"/>
      <c r="AC28" s="120"/>
      <c r="AD28" s="120"/>
      <c r="AE28" s="120">
        <v>1</v>
      </c>
      <c r="AF28" s="120"/>
      <c r="AG28" s="120"/>
      <c r="AH28" s="123">
        <f t="shared" si="1"/>
        <v>1</v>
      </c>
      <c r="AJ28" s="101" t="s">
        <v>513</v>
      </c>
      <c r="AK28" s="101" t="s">
        <v>513</v>
      </c>
      <c r="AL28" s="135" t="s">
        <v>530</v>
      </c>
    </row>
    <row r="29" spans="1:38" s="42" customFormat="1" ht="54.95" customHeight="1">
      <c r="A29" s="50" t="s">
        <v>515</v>
      </c>
      <c r="B29" s="51" t="s">
        <v>169</v>
      </c>
      <c r="C29" s="103" t="s">
        <v>54</v>
      </c>
      <c r="D29" s="115"/>
      <c r="E29" s="53" t="s">
        <v>61</v>
      </c>
      <c r="F29" s="53" t="s">
        <v>204</v>
      </c>
      <c r="G29" s="53" t="s">
        <v>60</v>
      </c>
      <c r="H29" s="53" t="s">
        <v>170</v>
      </c>
      <c r="I29" s="104" t="s">
        <v>179</v>
      </c>
      <c r="J29" s="105" t="s">
        <v>205</v>
      </c>
      <c r="K29" s="104" t="s">
        <v>181</v>
      </c>
      <c r="L29" s="105" t="s">
        <v>206</v>
      </c>
      <c r="M29" s="27"/>
      <c r="N29" s="27"/>
      <c r="O29" s="27"/>
      <c r="P29" s="27"/>
      <c r="Q29" s="27"/>
      <c r="R29" s="27"/>
      <c r="S29" s="27"/>
      <c r="T29" s="27"/>
      <c r="U29" s="53"/>
      <c r="V29" s="53" t="s">
        <v>456</v>
      </c>
      <c r="W29" s="53"/>
      <c r="X29" s="105"/>
      <c r="Y29" s="106"/>
      <c r="Z29" s="120"/>
      <c r="AA29" s="120"/>
      <c r="AB29" s="120"/>
      <c r="AC29" s="120"/>
      <c r="AD29" s="120"/>
      <c r="AE29" s="120">
        <v>1</v>
      </c>
      <c r="AF29" s="120"/>
      <c r="AG29" s="120"/>
      <c r="AH29" s="123">
        <f t="shared" si="1"/>
        <v>1</v>
      </c>
      <c r="AJ29" s="101" t="s">
        <v>513</v>
      </c>
      <c r="AK29" s="101" t="s">
        <v>513</v>
      </c>
      <c r="AL29" s="135" t="s">
        <v>530</v>
      </c>
    </row>
    <row r="30" spans="1:38" s="42" customFormat="1" ht="54.95" customHeight="1">
      <c r="A30" s="50" t="s">
        <v>516</v>
      </c>
      <c r="B30" s="29" t="s">
        <v>328</v>
      </c>
      <c r="C30" s="30" t="s">
        <v>54</v>
      </c>
      <c r="D30" s="112"/>
      <c r="E30" s="27" t="s">
        <v>153</v>
      </c>
      <c r="F30" s="27" t="s">
        <v>173</v>
      </c>
      <c r="G30" s="27" t="s">
        <v>116</v>
      </c>
      <c r="H30" s="27" t="s">
        <v>174</v>
      </c>
      <c r="I30" s="27" t="s">
        <v>207</v>
      </c>
      <c r="J30" s="43" t="s">
        <v>208</v>
      </c>
      <c r="K30" s="27" t="s">
        <v>209</v>
      </c>
      <c r="L30" s="44" t="s">
        <v>210</v>
      </c>
      <c r="M30" s="27"/>
      <c r="N30" s="27"/>
      <c r="O30" s="27"/>
      <c r="P30" s="27"/>
      <c r="Q30" s="27"/>
      <c r="R30" s="27"/>
      <c r="S30" s="27"/>
      <c r="T30" s="27"/>
      <c r="U30" s="27"/>
      <c r="V30" s="27" t="s">
        <v>457</v>
      </c>
      <c r="W30" s="27"/>
      <c r="X30" s="47"/>
      <c r="Y30" s="106"/>
      <c r="Z30" s="120"/>
      <c r="AA30" s="120"/>
      <c r="AB30" s="120"/>
      <c r="AC30" s="120"/>
      <c r="AD30" s="120"/>
      <c r="AE30" s="120">
        <v>1</v>
      </c>
      <c r="AF30" s="120"/>
      <c r="AG30" s="120"/>
      <c r="AH30" s="123">
        <f t="shared" si="1"/>
        <v>1</v>
      </c>
      <c r="AJ30" s="101" t="s">
        <v>513</v>
      </c>
      <c r="AK30" s="101" t="s">
        <v>513</v>
      </c>
      <c r="AL30" s="135" t="s">
        <v>530</v>
      </c>
    </row>
    <row r="31" spans="1:38" s="42" customFormat="1" ht="54.95" customHeight="1">
      <c r="A31" s="50" t="s">
        <v>517</v>
      </c>
      <c r="B31" s="29" t="s">
        <v>519</v>
      </c>
      <c r="C31" s="30" t="s">
        <v>54</v>
      </c>
      <c r="D31" s="112"/>
      <c r="E31" s="27" t="s">
        <v>228</v>
      </c>
      <c r="F31" s="27" t="s">
        <v>227</v>
      </c>
      <c r="G31" s="27" t="s">
        <v>262</v>
      </c>
      <c r="H31" s="44" t="s">
        <v>263</v>
      </c>
      <c r="I31" s="27" t="s">
        <v>264</v>
      </c>
      <c r="J31" s="27" t="s">
        <v>265</v>
      </c>
      <c r="K31" s="27" t="s">
        <v>266</v>
      </c>
      <c r="L31" s="27" t="s">
        <v>267</v>
      </c>
      <c r="M31" s="27"/>
      <c r="N31" s="27"/>
      <c r="O31" s="27"/>
      <c r="P31" s="27"/>
      <c r="Q31" s="27"/>
      <c r="R31" s="27"/>
      <c r="S31" s="27"/>
      <c r="T31" s="27"/>
      <c r="U31" s="27"/>
      <c r="V31" s="27" t="s">
        <v>520</v>
      </c>
      <c r="W31" s="27"/>
      <c r="X31" s="47"/>
      <c r="Y31" s="106"/>
      <c r="Z31" s="120"/>
      <c r="AA31" s="120"/>
      <c r="AB31" s="120"/>
      <c r="AC31" s="120"/>
      <c r="AD31" s="120"/>
      <c r="AE31" s="120">
        <v>1</v>
      </c>
      <c r="AF31" s="120"/>
      <c r="AG31" s="120"/>
      <c r="AH31" s="123">
        <f t="shared" si="1"/>
        <v>1</v>
      </c>
      <c r="AJ31" s="101" t="s">
        <v>513</v>
      </c>
      <c r="AK31" s="101" t="s">
        <v>513</v>
      </c>
      <c r="AL31" s="135" t="s">
        <v>530</v>
      </c>
    </row>
    <row r="32" spans="1:38" s="42" customFormat="1" ht="54.95" customHeight="1">
      <c r="A32" s="50" t="s">
        <v>518</v>
      </c>
      <c r="B32" s="29" t="s">
        <v>327</v>
      </c>
      <c r="C32" s="30" t="s">
        <v>54</v>
      </c>
      <c r="D32" s="112"/>
      <c r="E32" s="27" t="s">
        <v>130</v>
      </c>
      <c r="F32" s="27" t="s">
        <v>177</v>
      </c>
      <c r="G32" s="27" t="s">
        <v>165</v>
      </c>
      <c r="H32" s="27" t="s">
        <v>178</v>
      </c>
      <c r="I32" s="27" t="s">
        <v>207</v>
      </c>
      <c r="J32" s="43" t="s">
        <v>208</v>
      </c>
      <c r="K32" s="27" t="s">
        <v>209</v>
      </c>
      <c r="L32" s="44" t="s">
        <v>210</v>
      </c>
      <c r="M32" s="27"/>
      <c r="N32" s="27"/>
      <c r="O32" s="27"/>
      <c r="P32" s="27"/>
      <c r="Q32" s="27"/>
      <c r="R32" s="27"/>
      <c r="S32" s="27"/>
      <c r="T32" s="27"/>
      <c r="U32" s="27"/>
      <c r="V32" s="27" t="s">
        <v>457</v>
      </c>
      <c r="W32" s="27"/>
      <c r="X32" s="47"/>
      <c r="Y32" s="106"/>
      <c r="Z32" s="120"/>
      <c r="AA32" s="120"/>
      <c r="AB32" s="120"/>
      <c r="AC32" s="120"/>
      <c r="AD32" s="120"/>
      <c r="AE32" s="120">
        <v>1</v>
      </c>
      <c r="AF32" s="120"/>
      <c r="AG32" s="120"/>
      <c r="AH32" s="123">
        <f t="shared" si="1"/>
        <v>1</v>
      </c>
      <c r="AJ32" s="101" t="s">
        <v>513</v>
      </c>
      <c r="AK32" s="101" t="s">
        <v>513</v>
      </c>
      <c r="AL32" s="135" t="s">
        <v>530</v>
      </c>
    </row>
    <row r="33" spans="1:38" s="42" customFormat="1" ht="54.95" customHeight="1">
      <c r="A33" s="50">
        <v>22</v>
      </c>
      <c r="B33" s="29" t="s">
        <v>109</v>
      </c>
      <c r="C33" s="14" t="s">
        <v>54</v>
      </c>
      <c r="D33" s="112" t="s">
        <v>133</v>
      </c>
      <c r="E33" s="27" t="s">
        <v>211</v>
      </c>
      <c r="F33" s="43" t="s">
        <v>212</v>
      </c>
      <c r="G33" s="47" t="s">
        <v>221</v>
      </c>
      <c r="H33" s="44" t="s">
        <v>222</v>
      </c>
      <c r="I33" s="27" t="s">
        <v>223</v>
      </c>
      <c r="J33" s="43" t="s">
        <v>224</v>
      </c>
      <c r="K33" s="27" t="s">
        <v>225</v>
      </c>
      <c r="L33" s="44" t="s">
        <v>226</v>
      </c>
      <c r="M33" s="27"/>
      <c r="N33" s="27"/>
      <c r="O33" s="27"/>
      <c r="P33" s="27"/>
      <c r="Q33" s="27"/>
      <c r="R33" s="27"/>
      <c r="S33" s="27"/>
      <c r="T33" s="27"/>
      <c r="U33" s="27"/>
      <c r="V33" s="27" t="s">
        <v>522</v>
      </c>
      <c r="W33" s="27"/>
      <c r="X33" s="47"/>
      <c r="Y33" s="106"/>
      <c r="Z33" s="120"/>
      <c r="AA33" s="120"/>
      <c r="AB33" s="120"/>
      <c r="AC33" s="120"/>
      <c r="AD33" s="120"/>
      <c r="AE33" s="120">
        <v>1</v>
      </c>
      <c r="AF33" s="120"/>
      <c r="AG33" s="120"/>
      <c r="AH33" s="123">
        <f t="shared" si="1"/>
        <v>1</v>
      </c>
      <c r="AJ33" s="101" t="s">
        <v>513</v>
      </c>
      <c r="AK33" s="101" t="s">
        <v>513</v>
      </c>
      <c r="AL33" s="101"/>
    </row>
    <row r="34" spans="1:38" s="42" customFormat="1" ht="54.95" customHeight="1">
      <c r="A34" s="12" t="s">
        <v>521</v>
      </c>
      <c r="B34" s="13" t="s">
        <v>492</v>
      </c>
      <c r="C34" s="14"/>
      <c r="D34" s="112"/>
      <c r="E34" s="27" t="s">
        <v>262</v>
      </c>
      <c r="F34" s="43" t="s">
        <v>563</v>
      </c>
      <c r="G34" s="27" t="s">
        <v>269</v>
      </c>
      <c r="H34" s="27" t="s">
        <v>270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 t="s">
        <v>458</v>
      </c>
      <c r="W34" s="27"/>
      <c r="X34" s="47"/>
      <c r="Y34" s="106"/>
      <c r="Z34" s="120"/>
      <c r="AA34" s="120"/>
      <c r="AB34" s="120"/>
      <c r="AC34" s="120"/>
      <c r="AD34" s="120"/>
      <c r="AE34" s="120">
        <v>1</v>
      </c>
      <c r="AF34" s="120"/>
      <c r="AG34" s="120"/>
      <c r="AH34" s="123">
        <f t="shared" si="1"/>
        <v>1</v>
      </c>
      <c r="AJ34" s="101" t="s">
        <v>513</v>
      </c>
      <c r="AK34" s="101" t="s">
        <v>513</v>
      </c>
      <c r="AL34" s="101"/>
    </row>
    <row r="36" spans="1:38" ht="54.95" customHeight="1">
      <c r="A36" s="12">
        <v>24</v>
      </c>
      <c r="B36" s="60" t="s">
        <v>282</v>
      </c>
      <c r="C36" s="92" t="s">
        <v>54</v>
      </c>
      <c r="D36" s="112"/>
      <c r="E36" s="27" t="s">
        <v>475</v>
      </c>
      <c r="F36" s="27" t="s">
        <v>554</v>
      </c>
      <c r="G36" s="46" t="s">
        <v>489</v>
      </c>
      <c r="H36" s="47" t="s">
        <v>526</v>
      </c>
      <c r="I36" s="27" t="s">
        <v>553</v>
      </c>
      <c r="J36" s="27" t="s">
        <v>555</v>
      </c>
      <c r="K36" s="27" t="s">
        <v>557</v>
      </c>
      <c r="L36" s="27" t="s">
        <v>558</v>
      </c>
      <c r="M36" s="27"/>
      <c r="N36" s="27"/>
      <c r="O36" s="27"/>
      <c r="P36" s="27"/>
      <c r="Q36" s="27"/>
      <c r="R36" s="27"/>
      <c r="S36" s="27"/>
      <c r="T36" s="27"/>
      <c r="U36" s="47" t="s">
        <v>559</v>
      </c>
      <c r="V36" s="27"/>
      <c r="W36" s="27"/>
      <c r="X36" s="47"/>
      <c r="Y36" s="108" t="s">
        <v>400</v>
      </c>
      <c r="Z36" s="119"/>
      <c r="AA36" s="119"/>
      <c r="AB36" s="119"/>
      <c r="AC36" s="119"/>
      <c r="AD36" s="119"/>
      <c r="AE36" s="119">
        <v>1</v>
      </c>
      <c r="AF36" s="119"/>
      <c r="AG36" s="119"/>
      <c r="AH36" s="123">
        <f t="shared" si="1"/>
        <v>1</v>
      </c>
      <c r="AJ36" s="5"/>
      <c r="AK36" s="5"/>
      <c r="AL36" s="5"/>
    </row>
    <row r="37" spans="1:38" s="42" customFormat="1" ht="54.95" customHeight="1">
      <c r="A37" s="12">
        <v>25</v>
      </c>
      <c r="B37" s="13" t="s">
        <v>283</v>
      </c>
      <c r="C37" s="92" t="s">
        <v>54</v>
      </c>
      <c r="D37" s="112" t="s">
        <v>133</v>
      </c>
      <c r="E37" s="27" t="s">
        <v>272</v>
      </c>
      <c r="F37" s="27" t="s">
        <v>273</v>
      </c>
      <c r="G37" s="27" t="s">
        <v>274</v>
      </c>
      <c r="H37" s="27" t="s">
        <v>275</v>
      </c>
      <c r="I37" s="27" t="s">
        <v>276</v>
      </c>
      <c r="J37" s="27" t="s">
        <v>277</v>
      </c>
      <c r="K37" s="27" t="s">
        <v>266</v>
      </c>
      <c r="L37" s="27" t="s">
        <v>278</v>
      </c>
      <c r="M37" s="27"/>
      <c r="N37" s="27"/>
      <c r="O37" s="27"/>
      <c r="P37" s="27"/>
      <c r="Q37" s="27"/>
      <c r="R37" s="27"/>
      <c r="S37" s="27"/>
      <c r="T37" s="27"/>
      <c r="U37" s="27"/>
      <c r="V37" s="27" t="s">
        <v>459</v>
      </c>
      <c r="W37" s="27"/>
      <c r="X37" s="47"/>
      <c r="Y37" s="106"/>
      <c r="Z37" s="120"/>
      <c r="AA37" s="120"/>
      <c r="AB37" s="120"/>
      <c r="AC37" s="120"/>
      <c r="AD37" s="120"/>
      <c r="AE37" s="120">
        <v>1</v>
      </c>
      <c r="AF37" s="120"/>
      <c r="AG37" s="120"/>
      <c r="AH37" s="123">
        <f t="shared" si="1"/>
        <v>1</v>
      </c>
      <c r="AJ37" s="101" t="s">
        <v>513</v>
      </c>
      <c r="AK37" s="101" t="s">
        <v>513</v>
      </c>
      <c r="AL37" s="101"/>
    </row>
    <row r="38" spans="1:38" s="42" customFormat="1" ht="54.95" customHeight="1">
      <c r="A38" s="12">
        <v>26</v>
      </c>
      <c r="B38" s="13" t="s">
        <v>326</v>
      </c>
      <c r="C38" s="92" t="s">
        <v>54</v>
      </c>
      <c r="D38" s="112" t="s">
        <v>119</v>
      </c>
      <c r="E38" s="27" t="s">
        <v>325</v>
      </c>
      <c r="F38" s="27" t="s">
        <v>324</v>
      </c>
      <c r="G38" s="27" t="s">
        <v>309</v>
      </c>
      <c r="H38" s="27" t="s">
        <v>323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 t="s">
        <v>460</v>
      </c>
      <c r="W38" s="27"/>
      <c r="X38" s="47"/>
      <c r="Y38" s="106"/>
      <c r="Z38" s="120"/>
      <c r="AA38" s="120"/>
      <c r="AB38" s="120"/>
      <c r="AC38" s="120"/>
      <c r="AD38" s="120"/>
      <c r="AE38" s="120">
        <v>1</v>
      </c>
      <c r="AF38" s="120"/>
      <c r="AG38" s="120"/>
      <c r="AH38" s="123">
        <f t="shared" si="1"/>
        <v>1</v>
      </c>
      <c r="AJ38" s="101" t="s">
        <v>513</v>
      </c>
      <c r="AK38" s="101" t="s">
        <v>513</v>
      </c>
      <c r="AL38" s="101"/>
    </row>
    <row r="39" spans="1:38" s="42" customFormat="1" ht="54.95" customHeight="1">
      <c r="A39" s="12">
        <v>27</v>
      </c>
      <c r="B39" s="100" t="s">
        <v>284</v>
      </c>
      <c r="C39" s="92" t="s">
        <v>54</v>
      </c>
      <c r="D39" s="101" t="s">
        <v>136</v>
      </c>
      <c r="E39" s="46" t="s">
        <v>320</v>
      </c>
      <c r="F39" s="47" t="s">
        <v>322</v>
      </c>
      <c r="G39" s="46" t="s">
        <v>319</v>
      </c>
      <c r="H39" s="47" t="s">
        <v>321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47" t="s">
        <v>434</v>
      </c>
      <c r="V39" s="47"/>
      <c r="W39" s="110"/>
      <c r="X39" s="110"/>
      <c r="Y39" s="106"/>
      <c r="Z39" s="120"/>
      <c r="AA39" s="120"/>
      <c r="AB39" s="120"/>
      <c r="AC39" s="120"/>
      <c r="AD39" s="120">
        <v>1</v>
      </c>
      <c r="AE39" s="120"/>
      <c r="AF39" s="120"/>
      <c r="AG39" s="120"/>
      <c r="AH39" s="123">
        <f t="shared" si="1"/>
        <v>1</v>
      </c>
      <c r="AJ39" s="101" t="s">
        <v>513</v>
      </c>
      <c r="AK39" s="101" t="s">
        <v>513</v>
      </c>
      <c r="AL39" s="101"/>
    </row>
    <row r="40" spans="1:38" s="42" customFormat="1" ht="54.95" customHeight="1">
      <c r="A40" s="12">
        <v>28</v>
      </c>
      <c r="B40" s="60" t="s">
        <v>285</v>
      </c>
      <c r="C40" s="92" t="s">
        <v>54</v>
      </c>
      <c r="D40" s="101" t="s">
        <v>136</v>
      </c>
      <c r="E40" s="46" t="s">
        <v>320</v>
      </c>
      <c r="F40" s="47" t="s">
        <v>349</v>
      </c>
      <c r="G40" s="46" t="s">
        <v>319</v>
      </c>
      <c r="H40" s="47" t="s">
        <v>318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47" t="s">
        <v>435</v>
      </c>
      <c r="V40" s="47"/>
      <c r="W40" s="110"/>
      <c r="X40" s="110"/>
      <c r="Y40" s="106"/>
      <c r="Z40" s="120"/>
      <c r="AA40" s="120"/>
      <c r="AB40" s="120"/>
      <c r="AC40" s="120"/>
      <c r="AD40" s="120">
        <v>1</v>
      </c>
      <c r="AE40" s="120"/>
      <c r="AF40" s="120"/>
      <c r="AG40" s="120"/>
      <c r="AH40" s="123">
        <f t="shared" si="1"/>
        <v>1</v>
      </c>
      <c r="AJ40" s="101" t="s">
        <v>513</v>
      </c>
      <c r="AK40" s="101" t="s">
        <v>513</v>
      </c>
      <c r="AL40" s="101"/>
    </row>
    <row r="41" spans="1:38" ht="54.95" customHeight="1">
      <c r="A41" s="12">
        <v>29</v>
      </c>
      <c r="B41" s="116" t="s">
        <v>286</v>
      </c>
      <c r="C41" s="92" t="s">
        <v>54</v>
      </c>
      <c r="D41" s="101" t="s">
        <v>396</v>
      </c>
      <c r="E41" s="46" t="s">
        <v>406</v>
      </c>
      <c r="F41" s="47" t="s">
        <v>407</v>
      </c>
      <c r="G41" s="46" t="s">
        <v>409</v>
      </c>
      <c r="H41" s="47" t="s">
        <v>479</v>
      </c>
      <c r="I41" s="46" t="s">
        <v>480</v>
      </c>
      <c r="J41" s="27" t="s">
        <v>481</v>
      </c>
      <c r="K41" s="27" t="s">
        <v>482</v>
      </c>
      <c r="L41" s="27" t="s">
        <v>483</v>
      </c>
      <c r="M41" s="27"/>
      <c r="N41" s="27"/>
      <c r="O41" s="27"/>
      <c r="P41" s="27"/>
      <c r="Q41" s="27"/>
      <c r="R41" s="27"/>
      <c r="S41" s="27"/>
      <c r="T41" s="27"/>
      <c r="U41" s="47" t="s">
        <v>484</v>
      </c>
      <c r="V41" s="46"/>
      <c r="W41" s="110"/>
      <c r="X41" s="110"/>
      <c r="Y41" s="108" t="s">
        <v>400</v>
      </c>
      <c r="Z41" s="118"/>
      <c r="AA41" s="118"/>
      <c r="AB41" s="118"/>
      <c r="AC41" s="118"/>
      <c r="AD41" s="118">
        <v>1</v>
      </c>
      <c r="AE41" s="118"/>
      <c r="AF41" s="118"/>
      <c r="AG41" s="118"/>
      <c r="AH41" s="123">
        <f t="shared" si="1"/>
        <v>1</v>
      </c>
      <c r="AJ41" s="101" t="s">
        <v>513</v>
      </c>
      <c r="AK41" s="101" t="s">
        <v>513</v>
      </c>
      <c r="AL41" s="5"/>
    </row>
    <row r="42" spans="1:38" s="42" customFormat="1" ht="54.95" customHeight="1">
      <c r="A42" s="12">
        <f>A41+1</f>
        <v>30</v>
      </c>
      <c r="B42" s="100" t="s">
        <v>350</v>
      </c>
      <c r="C42" s="92" t="s">
        <v>54</v>
      </c>
      <c r="D42" s="101" t="s">
        <v>347</v>
      </c>
      <c r="E42" s="46" t="s">
        <v>347</v>
      </c>
      <c r="F42" s="47" t="s">
        <v>416</v>
      </c>
      <c r="G42" s="46" t="s">
        <v>351</v>
      </c>
      <c r="H42" s="47" t="s">
        <v>352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47" t="s">
        <v>436</v>
      </c>
      <c r="V42" s="46"/>
      <c r="W42" s="110"/>
      <c r="X42" s="110"/>
      <c r="Y42" s="106"/>
      <c r="Z42" s="120"/>
      <c r="AA42" s="120"/>
      <c r="AB42" s="120"/>
      <c r="AC42" s="120"/>
      <c r="AD42" s="120">
        <v>1</v>
      </c>
      <c r="AE42" s="120"/>
      <c r="AF42" s="120"/>
      <c r="AG42" s="120"/>
      <c r="AH42" s="123">
        <f t="shared" si="1"/>
        <v>1</v>
      </c>
      <c r="AJ42" s="101" t="s">
        <v>513</v>
      </c>
      <c r="AK42" s="101" t="s">
        <v>513</v>
      </c>
      <c r="AL42" s="101"/>
    </row>
    <row r="43" spans="1:38" ht="54.95" customHeight="1">
      <c r="A43" s="81">
        <f>A64+1</f>
        <v>32</v>
      </c>
      <c r="B43" s="25" t="s">
        <v>288</v>
      </c>
      <c r="C43" s="31" t="s">
        <v>54</v>
      </c>
      <c r="D43" s="5" t="s">
        <v>729</v>
      </c>
      <c r="E43" s="96"/>
      <c r="F43" s="98"/>
      <c r="G43" s="96"/>
      <c r="H43" s="98"/>
      <c r="I43" s="96"/>
      <c r="J43" s="96"/>
      <c r="K43" s="96"/>
      <c r="L43" s="96"/>
      <c r="M43" s="96"/>
      <c r="N43" s="98"/>
      <c r="O43" s="96"/>
      <c r="P43" s="98"/>
      <c r="Q43" s="96"/>
      <c r="R43" s="98"/>
      <c r="S43" s="96"/>
      <c r="T43" s="98"/>
      <c r="U43" s="96"/>
      <c r="V43" s="96"/>
      <c r="W43" s="111"/>
      <c r="X43" s="111"/>
      <c r="Y43" s="108" t="s">
        <v>582</v>
      </c>
      <c r="Z43" s="118">
        <v>1</v>
      </c>
      <c r="AA43" s="118">
        <v>1</v>
      </c>
      <c r="AB43" s="118"/>
      <c r="AC43" s="118"/>
      <c r="AD43" s="118"/>
      <c r="AE43" s="118"/>
      <c r="AF43" s="118"/>
      <c r="AG43" s="118"/>
      <c r="AH43" s="123">
        <f t="shared" si="1"/>
        <v>0</v>
      </c>
      <c r="AJ43" s="5"/>
      <c r="AK43" s="5"/>
      <c r="AL43" s="5"/>
    </row>
    <row r="44" spans="1:38" ht="54.95" customHeight="1">
      <c r="A44" s="12">
        <f t="shared" ref="A44:A57" si="2">A43+1</f>
        <v>33</v>
      </c>
      <c r="B44" s="100" t="s">
        <v>289</v>
      </c>
      <c r="C44" s="92" t="s">
        <v>54</v>
      </c>
      <c r="D44" s="101"/>
      <c r="E44" s="27" t="s">
        <v>475</v>
      </c>
      <c r="F44" s="27" t="s">
        <v>476</v>
      </c>
      <c r="G44" s="46" t="s">
        <v>489</v>
      </c>
      <c r="H44" s="47" t="s">
        <v>525</v>
      </c>
      <c r="I44" s="27" t="s">
        <v>553</v>
      </c>
      <c r="J44" s="27" t="s">
        <v>556</v>
      </c>
      <c r="K44" s="27" t="s">
        <v>557</v>
      </c>
      <c r="L44" s="27" t="s">
        <v>558</v>
      </c>
      <c r="M44" s="27"/>
      <c r="N44" s="27"/>
      <c r="O44" s="27"/>
      <c r="P44" s="27"/>
      <c r="Q44" s="27"/>
      <c r="R44" s="27"/>
      <c r="S44" s="27"/>
      <c r="T44" s="27"/>
      <c r="U44" s="47" t="s">
        <v>560</v>
      </c>
      <c r="V44" s="46"/>
      <c r="W44" s="110"/>
      <c r="X44" s="110"/>
      <c r="Y44" s="108" t="s">
        <v>400</v>
      </c>
      <c r="Z44" s="118"/>
      <c r="AA44" s="118"/>
      <c r="AB44" s="118"/>
      <c r="AC44" s="118"/>
      <c r="AD44" s="118">
        <v>1</v>
      </c>
      <c r="AE44" s="118"/>
      <c r="AF44" s="118"/>
      <c r="AG44" s="118"/>
      <c r="AH44" s="123">
        <f t="shared" si="1"/>
        <v>1</v>
      </c>
      <c r="AJ44" s="5"/>
      <c r="AK44" s="5"/>
      <c r="AL44" s="5"/>
    </row>
    <row r="45" spans="1:38" s="94" customFormat="1" ht="54.95" customHeight="1">
      <c r="A45" s="12">
        <f>A65+1</f>
        <v>35</v>
      </c>
      <c r="B45" s="100" t="s">
        <v>353</v>
      </c>
      <c r="C45" s="92" t="s">
        <v>54</v>
      </c>
      <c r="D45" s="101" t="s">
        <v>296</v>
      </c>
      <c r="E45" s="46" t="s">
        <v>389</v>
      </c>
      <c r="F45" s="47" t="s">
        <v>354</v>
      </c>
      <c r="G45" s="46" t="s">
        <v>425</v>
      </c>
      <c r="H45" s="47" t="s">
        <v>355</v>
      </c>
      <c r="I45" s="46" t="s">
        <v>388</v>
      </c>
      <c r="J45" s="47" t="s">
        <v>390</v>
      </c>
      <c r="K45" s="46" t="s">
        <v>391</v>
      </c>
      <c r="L45" s="47" t="s">
        <v>392</v>
      </c>
      <c r="M45" s="27"/>
      <c r="N45" s="27"/>
      <c r="O45" s="27"/>
      <c r="P45" s="27"/>
      <c r="Q45" s="27"/>
      <c r="R45" s="27"/>
      <c r="S45" s="27"/>
      <c r="T45" s="27"/>
      <c r="U45" s="47" t="s">
        <v>437</v>
      </c>
      <c r="V45" s="46"/>
      <c r="W45" s="110"/>
      <c r="X45" s="110"/>
      <c r="Y45" s="106" t="s">
        <v>575</v>
      </c>
      <c r="Z45" s="121"/>
      <c r="AA45" s="121"/>
      <c r="AB45" s="121"/>
      <c r="AC45" s="121"/>
      <c r="AD45" s="121">
        <v>1</v>
      </c>
      <c r="AE45" s="121"/>
      <c r="AF45" s="121"/>
      <c r="AG45" s="121"/>
      <c r="AH45" s="123">
        <f t="shared" si="1"/>
        <v>1</v>
      </c>
      <c r="AJ45" s="101" t="s">
        <v>513</v>
      </c>
      <c r="AK45" s="101" t="s">
        <v>513</v>
      </c>
      <c r="AL45" s="102"/>
    </row>
    <row r="46" spans="1:38" ht="54.95" customHeight="1">
      <c r="A46" s="81">
        <f t="shared" si="2"/>
        <v>36</v>
      </c>
      <c r="B46" s="93" t="s">
        <v>291</v>
      </c>
      <c r="C46" s="31" t="s">
        <v>54</v>
      </c>
      <c r="D46" s="5" t="s">
        <v>740</v>
      </c>
      <c r="E46" s="96"/>
      <c r="F46" s="98"/>
      <c r="G46" s="96"/>
      <c r="H46" s="98"/>
      <c r="I46" s="96"/>
      <c r="J46" s="96"/>
      <c r="K46" s="96"/>
      <c r="L46" s="96"/>
      <c r="M46" s="96"/>
      <c r="N46" s="98"/>
      <c r="O46" s="96"/>
      <c r="P46" s="98"/>
      <c r="Q46" s="96"/>
      <c r="R46" s="98"/>
      <c r="S46" s="96"/>
      <c r="T46" s="98"/>
      <c r="U46" s="96"/>
      <c r="V46" s="96"/>
      <c r="W46" s="111"/>
      <c r="X46" s="111"/>
      <c r="Y46" s="108" t="s">
        <v>583</v>
      </c>
      <c r="Z46" s="118">
        <v>1</v>
      </c>
      <c r="AA46" s="118">
        <v>1</v>
      </c>
      <c r="AB46" s="118"/>
      <c r="AC46" s="118"/>
      <c r="AD46" s="118"/>
      <c r="AE46" s="118"/>
      <c r="AF46" s="118"/>
      <c r="AG46" s="118"/>
      <c r="AH46" s="123">
        <f t="shared" si="1"/>
        <v>0</v>
      </c>
      <c r="AJ46" s="5"/>
      <c r="AK46" s="5"/>
      <c r="AL46" s="5"/>
    </row>
    <row r="47" spans="1:38" s="94" customFormat="1" ht="54.95" customHeight="1">
      <c r="A47" s="12">
        <f t="shared" si="2"/>
        <v>37</v>
      </c>
      <c r="B47" s="100" t="s">
        <v>292</v>
      </c>
      <c r="C47" s="36" t="s">
        <v>293</v>
      </c>
      <c r="D47" s="101" t="s">
        <v>379</v>
      </c>
      <c r="E47" s="46" t="s">
        <v>380</v>
      </c>
      <c r="F47" s="47" t="s">
        <v>381</v>
      </c>
      <c r="G47" s="46" t="s">
        <v>426</v>
      </c>
      <c r="H47" s="47" t="s">
        <v>382</v>
      </c>
      <c r="I47" s="46" t="s">
        <v>409</v>
      </c>
      <c r="J47" s="47" t="s">
        <v>467</v>
      </c>
      <c r="K47" s="46" t="s">
        <v>477</v>
      </c>
      <c r="L47" s="47" t="s">
        <v>478</v>
      </c>
      <c r="M47" s="46" t="s">
        <v>489</v>
      </c>
      <c r="N47" s="47" t="s">
        <v>523</v>
      </c>
      <c r="O47" s="46" t="s">
        <v>549</v>
      </c>
      <c r="P47" s="47" t="s">
        <v>550</v>
      </c>
      <c r="Q47" s="27"/>
      <c r="R47" s="27"/>
      <c r="S47" s="27"/>
      <c r="T47" s="27"/>
      <c r="U47" s="47" t="s">
        <v>551</v>
      </c>
      <c r="V47" s="46"/>
      <c r="W47" s="110"/>
      <c r="X47" s="110"/>
      <c r="Y47" s="106" t="s">
        <v>578</v>
      </c>
      <c r="Z47" s="121"/>
      <c r="AA47" s="121"/>
      <c r="AB47" s="121"/>
      <c r="AC47" s="121"/>
      <c r="AD47" s="121">
        <v>1</v>
      </c>
      <c r="AE47" s="121"/>
      <c r="AF47" s="121"/>
      <c r="AG47" s="121"/>
      <c r="AH47" s="123">
        <f t="shared" si="1"/>
        <v>1</v>
      </c>
      <c r="AJ47" s="101" t="s">
        <v>513</v>
      </c>
      <c r="AK47" s="101" t="s">
        <v>513</v>
      </c>
      <c r="AL47" s="102"/>
    </row>
    <row r="48" spans="1:38" s="42" customFormat="1" ht="54.95" customHeight="1">
      <c r="A48" s="12">
        <f t="shared" si="2"/>
        <v>38</v>
      </c>
      <c r="B48" s="100" t="s">
        <v>565</v>
      </c>
      <c r="C48" s="92" t="s">
        <v>54</v>
      </c>
      <c r="D48" s="101" t="s">
        <v>136</v>
      </c>
      <c r="E48" s="46" t="s">
        <v>566</v>
      </c>
      <c r="F48" s="47" t="s">
        <v>567</v>
      </c>
      <c r="G48" s="46" t="s">
        <v>568</v>
      </c>
      <c r="H48" s="47" t="s">
        <v>569</v>
      </c>
      <c r="I48" s="46" t="s">
        <v>570</v>
      </c>
      <c r="J48" s="47" t="s">
        <v>571</v>
      </c>
      <c r="K48" s="46" t="s">
        <v>572</v>
      </c>
      <c r="L48" s="47" t="s">
        <v>573</v>
      </c>
      <c r="M48" s="27"/>
      <c r="N48" s="27"/>
      <c r="O48" s="27"/>
      <c r="P48" s="27"/>
      <c r="Q48" s="27"/>
      <c r="R48" s="27"/>
      <c r="S48" s="27"/>
      <c r="T48" s="27"/>
      <c r="U48" s="47" t="s">
        <v>574</v>
      </c>
      <c r="V48" s="46"/>
      <c r="W48" s="110"/>
      <c r="X48" s="110"/>
      <c r="Y48" s="106" t="s">
        <v>579</v>
      </c>
      <c r="Z48" s="120"/>
      <c r="AA48" s="120"/>
      <c r="AB48" s="120"/>
      <c r="AC48" s="120"/>
      <c r="AD48" s="120">
        <v>1</v>
      </c>
      <c r="AE48" s="120"/>
      <c r="AF48" s="120"/>
      <c r="AG48" s="120"/>
      <c r="AH48" s="123">
        <f t="shared" si="1"/>
        <v>1</v>
      </c>
      <c r="AJ48" s="101" t="s">
        <v>513</v>
      </c>
      <c r="AK48" s="101" t="s">
        <v>513</v>
      </c>
      <c r="AL48" s="101"/>
    </row>
    <row r="49" spans="1:38" ht="54.95" customHeight="1">
      <c r="A49" s="12">
        <f>A48+1</f>
        <v>39</v>
      </c>
      <c r="B49" s="100" t="s">
        <v>294</v>
      </c>
      <c r="C49" s="36" t="s">
        <v>295</v>
      </c>
      <c r="D49" s="101" t="s">
        <v>371</v>
      </c>
      <c r="E49" s="46" t="s">
        <v>370</v>
      </c>
      <c r="F49" s="47" t="s">
        <v>372</v>
      </c>
      <c r="G49" s="46" t="s">
        <v>373</v>
      </c>
      <c r="H49" s="47" t="s">
        <v>374</v>
      </c>
      <c r="I49" s="46" t="s">
        <v>383</v>
      </c>
      <c r="J49" s="47" t="s">
        <v>384</v>
      </c>
      <c r="K49" s="46" t="s">
        <v>394</v>
      </c>
      <c r="L49" s="47" t="s">
        <v>395</v>
      </c>
      <c r="M49" s="27"/>
      <c r="N49" s="27"/>
      <c r="O49" s="27"/>
      <c r="P49" s="27"/>
      <c r="Q49" s="27"/>
      <c r="R49" s="27"/>
      <c r="S49" s="27"/>
      <c r="T49" s="27"/>
      <c r="U49" s="47" t="s">
        <v>439</v>
      </c>
      <c r="V49" s="46"/>
      <c r="W49" s="110"/>
      <c r="X49" s="110"/>
      <c r="Z49" s="118"/>
      <c r="AA49" s="118"/>
      <c r="AB49" s="118"/>
      <c r="AC49" s="118"/>
      <c r="AD49" s="118">
        <v>1</v>
      </c>
      <c r="AE49" s="118"/>
      <c r="AF49" s="118"/>
      <c r="AG49" s="118"/>
      <c r="AH49" s="123">
        <f t="shared" si="1"/>
        <v>1</v>
      </c>
      <c r="AJ49" s="101" t="s">
        <v>513</v>
      </c>
      <c r="AK49" s="101" t="s">
        <v>513</v>
      </c>
      <c r="AL49" s="5"/>
    </row>
    <row r="50" spans="1:38" s="42" customFormat="1" ht="54.95" customHeight="1">
      <c r="A50" s="12">
        <f t="shared" si="2"/>
        <v>40</v>
      </c>
      <c r="B50" s="100" t="s">
        <v>317</v>
      </c>
      <c r="C50" s="92" t="s">
        <v>54</v>
      </c>
      <c r="D50" s="101" t="s">
        <v>136</v>
      </c>
      <c r="E50" s="46" t="s">
        <v>260</v>
      </c>
      <c r="F50" s="47" t="s">
        <v>297</v>
      </c>
      <c r="G50" s="46" t="s">
        <v>298</v>
      </c>
      <c r="H50" s="47" t="s">
        <v>299</v>
      </c>
      <c r="I50" s="46" t="s">
        <v>300</v>
      </c>
      <c r="J50" s="47" t="s">
        <v>301</v>
      </c>
      <c r="K50" s="46" t="s">
        <v>302</v>
      </c>
      <c r="L50" s="47" t="s">
        <v>303</v>
      </c>
      <c r="M50" s="27"/>
      <c r="N50" s="27"/>
      <c r="O50" s="27"/>
      <c r="P50" s="27"/>
      <c r="Q50" s="27"/>
      <c r="R50" s="27"/>
      <c r="S50" s="27"/>
      <c r="T50" s="27"/>
      <c r="U50" s="47" t="s">
        <v>440</v>
      </c>
      <c r="V50" s="46"/>
      <c r="W50" s="110"/>
      <c r="X50" s="110"/>
      <c r="Y50" s="106"/>
      <c r="Z50" s="120"/>
      <c r="AA50" s="120"/>
      <c r="AB50" s="120"/>
      <c r="AC50" s="120"/>
      <c r="AD50" s="120">
        <v>1</v>
      </c>
      <c r="AE50" s="120"/>
      <c r="AF50" s="120"/>
      <c r="AG50" s="120"/>
      <c r="AH50" s="123">
        <f t="shared" si="1"/>
        <v>1</v>
      </c>
      <c r="AJ50" s="101" t="s">
        <v>513</v>
      </c>
      <c r="AK50" s="101" t="s">
        <v>513</v>
      </c>
      <c r="AL50" s="101"/>
    </row>
    <row r="51" spans="1:38" ht="54.95" customHeight="1">
      <c r="A51" s="81">
        <f t="shared" si="2"/>
        <v>41</v>
      </c>
      <c r="B51" s="93" t="s">
        <v>304</v>
      </c>
      <c r="C51" s="31" t="s">
        <v>54</v>
      </c>
      <c r="D51" s="5" t="s">
        <v>731</v>
      </c>
      <c r="E51" s="96"/>
      <c r="F51" s="98"/>
      <c r="G51" s="96"/>
      <c r="H51" s="98"/>
      <c r="I51" s="96"/>
      <c r="J51" s="96"/>
      <c r="K51" s="96"/>
      <c r="L51" s="96"/>
      <c r="M51" s="96"/>
      <c r="N51" s="98"/>
      <c r="O51" s="96"/>
      <c r="P51" s="98"/>
      <c r="Q51" s="96"/>
      <c r="R51" s="98"/>
      <c r="S51" s="96"/>
      <c r="T51" s="98"/>
      <c r="U51" s="96"/>
      <c r="V51" s="96"/>
      <c r="W51" s="111"/>
      <c r="X51" s="111"/>
      <c r="Y51" s="106" t="s">
        <v>582</v>
      </c>
      <c r="Z51" s="118">
        <v>1</v>
      </c>
      <c r="AA51" s="118">
        <v>1</v>
      </c>
      <c r="AB51" s="118"/>
      <c r="AC51" s="118"/>
      <c r="AD51" s="118"/>
      <c r="AE51" s="118"/>
      <c r="AF51" s="118"/>
      <c r="AG51" s="118"/>
      <c r="AH51" s="123">
        <f t="shared" si="1"/>
        <v>0</v>
      </c>
      <c r="AJ51" s="5"/>
      <c r="AK51" s="5"/>
      <c r="AL51" s="5"/>
    </row>
    <row r="52" spans="1:38" s="94" customFormat="1" ht="54.95" customHeight="1">
      <c r="A52" s="12">
        <f t="shared" si="2"/>
        <v>42</v>
      </c>
      <c r="B52" s="100" t="s">
        <v>305</v>
      </c>
      <c r="C52" s="36" t="s">
        <v>306</v>
      </c>
      <c r="D52" s="101" t="s">
        <v>695</v>
      </c>
      <c r="E52" s="46" t="s">
        <v>733</v>
      </c>
      <c r="F52" s="47" t="s">
        <v>735</v>
      </c>
      <c r="G52" s="46" t="s">
        <v>736</v>
      </c>
      <c r="H52" s="47" t="s">
        <v>737</v>
      </c>
      <c r="I52" s="27"/>
      <c r="J52" s="27"/>
      <c r="K52" s="27"/>
      <c r="L52" s="27"/>
      <c r="M52" s="27"/>
      <c r="N52" s="27"/>
      <c r="O52" s="27"/>
      <c r="P52" s="27"/>
      <c r="Q52" s="153"/>
      <c r="R52" s="138"/>
      <c r="S52" s="153"/>
      <c r="T52" s="138"/>
      <c r="U52" s="47" t="s">
        <v>738</v>
      </c>
      <c r="V52" s="46"/>
      <c r="W52" s="110"/>
      <c r="X52" s="110"/>
      <c r="Y52" s="154" t="s">
        <v>739</v>
      </c>
      <c r="Z52" s="121">
        <v>1</v>
      </c>
      <c r="AA52" s="121">
        <v>1</v>
      </c>
      <c r="AB52" s="121"/>
      <c r="AC52" s="121"/>
      <c r="AD52" s="121"/>
      <c r="AE52" s="121"/>
      <c r="AF52" s="121"/>
      <c r="AG52" s="121"/>
      <c r="AH52" s="139">
        <f t="shared" si="1"/>
        <v>0</v>
      </c>
      <c r="AJ52" s="102"/>
      <c r="AK52" s="102"/>
      <c r="AL52" s="102"/>
    </row>
    <row r="53" spans="1:38" ht="54.95" customHeight="1">
      <c r="A53" s="81">
        <f t="shared" si="2"/>
        <v>43</v>
      </c>
      <c r="B53" s="93" t="s">
        <v>307</v>
      </c>
      <c r="C53" s="31" t="s">
        <v>308</v>
      </c>
      <c r="D53" s="5" t="s">
        <v>730</v>
      </c>
      <c r="E53" s="96"/>
      <c r="F53" s="98"/>
      <c r="G53" s="96"/>
      <c r="H53" s="98"/>
      <c r="I53" s="96"/>
      <c r="J53" s="96"/>
      <c r="K53" s="96"/>
      <c r="L53" s="96"/>
      <c r="M53" s="96"/>
      <c r="N53" s="98"/>
      <c r="O53" s="96"/>
      <c r="P53" s="98"/>
      <c r="Q53" s="96"/>
      <c r="R53" s="98"/>
      <c r="S53" s="96"/>
      <c r="T53" s="98"/>
      <c r="U53" s="96"/>
      <c r="V53" s="96"/>
      <c r="W53" s="111"/>
      <c r="X53" s="111"/>
      <c r="Y53" s="106" t="s">
        <v>399</v>
      </c>
      <c r="Z53" s="118">
        <v>1</v>
      </c>
      <c r="AA53" s="118">
        <v>1</v>
      </c>
      <c r="AB53" s="118"/>
      <c r="AC53" s="118"/>
      <c r="AD53" s="118"/>
      <c r="AE53" s="118"/>
      <c r="AF53" s="118"/>
      <c r="AG53" s="118"/>
      <c r="AH53" s="123">
        <f t="shared" si="1"/>
        <v>0</v>
      </c>
      <c r="AJ53" s="5"/>
      <c r="AK53" s="5"/>
      <c r="AL53" s="5"/>
    </row>
    <row r="54" spans="1:38" s="42" customFormat="1" ht="54.95" customHeight="1">
      <c r="A54" s="12">
        <f t="shared" si="2"/>
        <v>44</v>
      </c>
      <c r="B54" s="100" t="s">
        <v>356</v>
      </c>
      <c r="C54" s="36"/>
      <c r="D54" s="101"/>
      <c r="E54" s="46" t="s">
        <v>601</v>
      </c>
      <c r="F54" s="47" t="s">
        <v>603</v>
      </c>
      <c r="G54" s="46" t="s">
        <v>601</v>
      </c>
      <c r="H54" s="47" t="s">
        <v>606</v>
      </c>
      <c r="I54" s="46" t="s">
        <v>602</v>
      </c>
      <c r="J54" s="47" t="s">
        <v>604</v>
      </c>
      <c r="K54" s="46" t="s">
        <v>605</v>
      </c>
      <c r="L54" s="47" t="s">
        <v>607</v>
      </c>
      <c r="M54" s="27"/>
      <c r="N54" s="27"/>
      <c r="O54" s="27"/>
      <c r="P54" s="27"/>
      <c r="Q54" s="27"/>
      <c r="R54" s="27"/>
      <c r="S54" s="27"/>
      <c r="T54" s="27"/>
      <c r="U54" s="47" t="s">
        <v>441</v>
      </c>
      <c r="V54" s="46"/>
      <c r="W54" s="110"/>
      <c r="X54" s="110"/>
      <c r="Y54" s="106"/>
      <c r="Z54" s="120"/>
      <c r="AA54" s="120"/>
      <c r="AB54" s="120"/>
      <c r="AC54" s="120"/>
      <c r="AD54" s="120">
        <v>1</v>
      </c>
      <c r="AE54" s="120"/>
      <c r="AF54" s="120"/>
      <c r="AG54" s="120"/>
      <c r="AH54" s="123">
        <f t="shared" si="1"/>
        <v>1</v>
      </c>
      <c r="AJ54" s="101" t="s">
        <v>513</v>
      </c>
      <c r="AK54" s="101" t="s">
        <v>513</v>
      </c>
      <c r="AL54" s="101"/>
    </row>
    <row r="55" spans="1:38" s="42" customFormat="1" ht="54.95" customHeight="1">
      <c r="A55" s="12">
        <f t="shared" si="2"/>
        <v>45</v>
      </c>
      <c r="B55" s="36" t="s">
        <v>357</v>
      </c>
      <c r="C55" s="36"/>
      <c r="D55" s="101"/>
      <c r="E55" s="46" t="s">
        <v>358</v>
      </c>
      <c r="F55" s="47" t="s">
        <v>359</v>
      </c>
      <c r="G55" s="46" t="s">
        <v>360</v>
      </c>
      <c r="H55" s="47" t="s">
        <v>361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47" t="s">
        <v>442</v>
      </c>
      <c r="V55" s="46"/>
      <c r="W55" s="110"/>
      <c r="X55" s="110"/>
      <c r="Y55" s="106"/>
      <c r="Z55" s="120"/>
      <c r="AA55" s="120"/>
      <c r="AB55" s="120"/>
      <c r="AC55" s="120"/>
      <c r="AD55" s="120">
        <v>1</v>
      </c>
      <c r="AE55" s="120"/>
      <c r="AF55" s="120"/>
      <c r="AG55" s="120"/>
      <c r="AH55" s="123">
        <f t="shared" si="1"/>
        <v>1</v>
      </c>
      <c r="AJ55" s="101" t="s">
        <v>513</v>
      </c>
      <c r="AK55" s="101" t="s">
        <v>513</v>
      </c>
      <c r="AL55" s="101"/>
    </row>
    <row r="56" spans="1:38" s="42" customFormat="1" ht="54.95" customHeight="1">
      <c r="A56" s="12">
        <f t="shared" si="2"/>
        <v>46</v>
      </c>
      <c r="B56" s="92" t="s">
        <v>527</v>
      </c>
      <c r="C56" s="36"/>
      <c r="D56" s="101"/>
      <c r="E56" s="46" t="s">
        <v>608</v>
      </c>
      <c r="F56" s="47" t="s">
        <v>609</v>
      </c>
      <c r="G56" s="46" t="s">
        <v>610</v>
      </c>
      <c r="H56" s="47" t="s">
        <v>611</v>
      </c>
      <c r="I56" s="46" t="s">
        <v>362</v>
      </c>
      <c r="J56" s="47" t="s">
        <v>363</v>
      </c>
      <c r="K56" s="46" t="s">
        <v>612</v>
      </c>
      <c r="L56" s="47" t="s">
        <v>528</v>
      </c>
      <c r="M56" s="27"/>
      <c r="N56" s="27"/>
      <c r="O56" s="27"/>
      <c r="P56" s="27"/>
      <c r="Q56" s="27"/>
      <c r="R56" s="27"/>
      <c r="S56" s="27"/>
      <c r="T56" s="27"/>
      <c r="U56" s="47" t="s">
        <v>613</v>
      </c>
      <c r="V56" s="47" t="s">
        <v>461</v>
      </c>
      <c r="W56" s="110"/>
      <c r="X56" s="110"/>
      <c r="Y56" s="106"/>
      <c r="Z56" s="120"/>
      <c r="AA56" s="120"/>
      <c r="AB56" s="120"/>
      <c r="AC56" s="120"/>
      <c r="AD56" s="120"/>
      <c r="AE56" s="120">
        <v>1</v>
      </c>
      <c r="AF56" s="120"/>
      <c r="AG56" s="120"/>
      <c r="AH56" s="123">
        <f t="shared" si="1"/>
        <v>1</v>
      </c>
      <c r="AJ56" s="101" t="s">
        <v>513</v>
      </c>
      <c r="AK56" s="101" t="s">
        <v>513</v>
      </c>
      <c r="AL56" s="101"/>
    </row>
    <row r="57" spans="1:38" s="42" customFormat="1" ht="54.95" customHeight="1">
      <c r="A57" s="12">
        <f t="shared" si="2"/>
        <v>47</v>
      </c>
      <c r="B57" s="36" t="s">
        <v>364</v>
      </c>
      <c r="C57" s="36"/>
      <c r="D57" s="101"/>
      <c r="E57" s="46" t="s">
        <v>250</v>
      </c>
      <c r="F57" s="47" t="s">
        <v>365</v>
      </c>
      <c r="G57" s="46" t="s">
        <v>339</v>
      </c>
      <c r="H57" s="47" t="s">
        <v>366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47" t="s">
        <v>443</v>
      </c>
      <c r="V57" s="46"/>
      <c r="W57" s="110"/>
      <c r="X57" s="110"/>
      <c r="Y57" s="106"/>
      <c r="Z57" s="120"/>
      <c r="AA57" s="120"/>
      <c r="AB57" s="120"/>
      <c r="AC57" s="120"/>
      <c r="AD57" s="120">
        <v>1</v>
      </c>
      <c r="AE57" s="120"/>
      <c r="AF57" s="120"/>
      <c r="AG57" s="120"/>
      <c r="AH57" s="123">
        <f t="shared" si="1"/>
        <v>1</v>
      </c>
      <c r="AJ57" s="101" t="s">
        <v>513</v>
      </c>
      <c r="AK57" s="101" t="s">
        <v>513</v>
      </c>
      <c r="AL57" s="101"/>
    </row>
    <row r="58" spans="1:38" s="42" customFormat="1" ht="54.95" customHeight="1">
      <c r="A58" s="12" t="s">
        <v>485</v>
      </c>
      <c r="B58" s="36" t="s">
        <v>486</v>
      </c>
      <c r="C58" s="36"/>
      <c r="D58" s="101"/>
      <c r="E58" s="46" t="s">
        <v>487</v>
      </c>
      <c r="F58" s="47" t="s">
        <v>488</v>
      </c>
      <c r="G58" s="46" t="s">
        <v>489</v>
      </c>
      <c r="H58" s="47" t="s">
        <v>490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47" t="s">
        <v>491</v>
      </c>
      <c r="V58" s="46"/>
      <c r="W58" s="110"/>
      <c r="X58" s="110"/>
      <c r="Y58" s="106"/>
      <c r="Z58" s="120"/>
      <c r="AA58" s="120"/>
      <c r="AB58" s="120"/>
      <c r="AC58" s="120"/>
      <c r="AD58" s="120">
        <v>1</v>
      </c>
      <c r="AE58" s="120"/>
      <c r="AF58" s="120"/>
      <c r="AG58" s="120"/>
      <c r="AH58" s="123">
        <f t="shared" si="1"/>
        <v>1</v>
      </c>
      <c r="AJ58" s="101" t="s">
        <v>513</v>
      </c>
      <c r="AK58" s="101" t="s">
        <v>513</v>
      </c>
      <c r="AL58" s="101"/>
    </row>
    <row r="59" spans="1:38" s="94" customFormat="1" ht="54.95" customHeight="1">
      <c r="A59" s="12">
        <f>A57+1</f>
        <v>48</v>
      </c>
      <c r="B59" s="36" t="s">
        <v>378</v>
      </c>
      <c r="C59" s="36"/>
      <c r="D59" s="101" t="s">
        <v>371</v>
      </c>
      <c r="E59" s="46" t="s">
        <v>376</v>
      </c>
      <c r="F59" s="47" t="s">
        <v>618</v>
      </c>
      <c r="G59" s="46" t="s">
        <v>427</v>
      </c>
      <c r="H59" s="47" t="s">
        <v>620</v>
      </c>
      <c r="I59" s="46" t="s">
        <v>411</v>
      </c>
      <c r="J59" s="47" t="s">
        <v>412</v>
      </c>
      <c r="K59" s="46" t="s">
        <v>413</v>
      </c>
      <c r="L59" s="47" t="s">
        <v>414</v>
      </c>
      <c r="M59" s="46" t="s">
        <v>409</v>
      </c>
      <c r="N59" s="47" t="s">
        <v>468</v>
      </c>
      <c r="O59" s="46" t="s">
        <v>469</v>
      </c>
      <c r="P59" s="47" t="s">
        <v>470</v>
      </c>
      <c r="Q59" s="27"/>
      <c r="R59" s="27"/>
      <c r="S59" s="27"/>
      <c r="T59" s="27"/>
      <c r="U59" s="47" t="s">
        <v>471</v>
      </c>
      <c r="V59" s="46"/>
      <c r="W59" s="110"/>
      <c r="X59" s="110"/>
      <c r="Y59" s="106" t="s">
        <v>401</v>
      </c>
      <c r="Z59" s="121"/>
      <c r="AA59" s="121"/>
      <c r="AB59" s="121"/>
      <c r="AC59" s="121"/>
      <c r="AD59" s="121">
        <v>1</v>
      </c>
      <c r="AE59" s="121"/>
      <c r="AF59" s="121"/>
      <c r="AG59" s="121"/>
      <c r="AH59" s="123">
        <f t="shared" si="1"/>
        <v>1</v>
      </c>
      <c r="AJ59" s="101" t="s">
        <v>513</v>
      </c>
      <c r="AK59" s="101" t="s">
        <v>513</v>
      </c>
      <c r="AL59" s="102"/>
    </row>
    <row r="60" spans="1:38" s="94" customFormat="1" ht="54.95" customHeight="1">
      <c r="A60" s="12">
        <v>49</v>
      </c>
      <c r="B60" s="36" t="s">
        <v>614</v>
      </c>
      <c r="C60" s="36"/>
      <c r="D60" s="101" t="s">
        <v>616</v>
      </c>
      <c r="E60" s="46" t="s">
        <v>617</v>
      </c>
      <c r="F60" s="47" t="s">
        <v>625</v>
      </c>
      <c r="G60" s="46" t="s">
        <v>619</v>
      </c>
      <c r="H60" s="47" t="s">
        <v>621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47" t="s">
        <v>622</v>
      </c>
      <c r="V60" s="46"/>
      <c r="W60" s="110"/>
      <c r="X60" s="110"/>
      <c r="Y60" s="106"/>
      <c r="Z60" s="121"/>
      <c r="AA60" s="121"/>
      <c r="AB60" s="121"/>
      <c r="AC60" s="121"/>
      <c r="AD60" s="121"/>
      <c r="AE60" s="121"/>
      <c r="AF60" s="121"/>
      <c r="AG60" s="121"/>
      <c r="AH60" s="123"/>
      <c r="AJ60" s="101"/>
      <c r="AK60" s="101"/>
      <c r="AL60" s="102"/>
    </row>
    <row r="61" spans="1:38" s="94" customFormat="1" ht="54.95" customHeight="1">
      <c r="A61" s="12">
        <v>50</v>
      </c>
      <c r="B61" s="36" t="s">
        <v>623</v>
      </c>
      <c r="C61" s="36"/>
      <c r="D61" s="101"/>
      <c r="E61" s="46" t="s">
        <v>624</v>
      </c>
      <c r="F61" s="47" t="s">
        <v>734</v>
      </c>
      <c r="G61" s="46" t="s">
        <v>626</v>
      </c>
      <c r="H61" s="47" t="s">
        <v>627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47" t="s">
        <v>628</v>
      </c>
      <c r="V61" s="46"/>
      <c r="W61" s="110"/>
      <c r="X61" s="110"/>
      <c r="Y61" s="106"/>
      <c r="Z61" s="121"/>
      <c r="AA61" s="121"/>
      <c r="AB61" s="121"/>
      <c r="AC61" s="121"/>
      <c r="AD61" s="121"/>
      <c r="AE61" s="121"/>
      <c r="AF61" s="121"/>
      <c r="AG61" s="121"/>
      <c r="AH61" s="123"/>
      <c r="AJ61" s="101"/>
      <c r="AK61" s="101"/>
      <c r="AL61" s="102"/>
    </row>
    <row r="62" spans="1:38" ht="54.95" hidden="1" customHeight="1">
      <c r="A62" s="19" t="s">
        <v>310</v>
      </c>
      <c r="B62" s="25" t="s">
        <v>65</v>
      </c>
      <c r="C62" s="21" t="s">
        <v>64</v>
      </c>
      <c r="D62" s="113" t="s">
        <v>368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163" t="s">
        <v>629</v>
      </c>
      <c r="X62" s="164"/>
      <c r="Y62" s="106" t="s">
        <v>581</v>
      </c>
      <c r="Z62" s="118">
        <v>1</v>
      </c>
      <c r="AA62" s="118">
        <v>1</v>
      </c>
      <c r="AB62" s="118"/>
      <c r="AC62" s="118"/>
      <c r="AD62" s="118"/>
      <c r="AE62" s="118"/>
      <c r="AF62" s="118"/>
      <c r="AG62" s="118"/>
      <c r="AH62" s="123">
        <f>SUM(AD62:AG62)</f>
        <v>0</v>
      </c>
      <c r="AJ62" s="5"/>
      <c r="AK62" s="5"/>
      <c r="AL62" s="5"/>
    </row>
    <row r="63" spans="1:38" s="94" customFormat="1" ht="54.95" hidden="1" customHeight="1">
      <c r="A63" s="140">
        <v>23</v>
      </c>
      <c r="B63" s="141" t="s">
        <v>110</v>
      </c>
      <c r="C63" s="136" t="s">
        <v>615</v>
      </c>
      <c r="D63" s="142" t="s">
        <v>369</v>
      </c>
      <c r="E63" s="137" t="s">
        <v>562</v>
      </c>
      <c r="F63" s="137" t="s">
        <v>564</v>
      </c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8"/>
      <c r="Y63" s="143" t="s">
        <v>548</v>
      </c>
      <c r="Z63" s="121">
        <v>1</v>
      </c>
      <c r="AA63" s="121">
        <v>1</v>
      </c>
      <c r="AB63" s="121"/>
      <c r="AC63" s="121"/>
      <c r="AD63" s="121"/>
      <c r="AE63" s="121"/>
      <c r="AF63" s="121"/>
      <c r="AG63" s="121"/>
      <c r="AH63" s="139">
        <f>SUM(AD63:AG63)</f>
        <v>0</v>
      </c>
      <c r="AJ63" s="102"/>
      <c r="AK63" s="102"/>
      <c r="AL63" s="102"/>
    </row>
    <row r="64" spans="1:38" ht="54.95" hidden="1" customHeight="1">
      <c r="A64" s="127">
        <f>A42+1</f>
        <v>31</v>
      </c>
      <c r="B64" s="128" t="s">
        <v>287</v>
      </c>
      <c r="C64" s="129" t="s">
        <v>54</v>
      </c>
      <c r="D64" s="130"/>
      <c r="E64" s="131" t="s">
        <v>409</v>
      </c>
      <c r="F64" s="132" t="s">
        <v>415</v>
      </c>
      <c r="G64" s="131" t="s">
        <v>463</v>
      </c>
      <c r="H64" s="132" t="s">
        <v>464</v>
      </c>
      <c r="I64" s="131"/>
      <c r="J64" s="131"/>
      <c r="K64" s="131"/>
      <c r="L64" s="131"/>
      <c r="M64" s="131"/>
      <c r="N64" s="132"/>
      <c r="O64" s="131"/>
      <c r="P64" s="132"/>
      <c r="Q64" s="131"/>
      <c r="R64" s="132"/>
      <c r="S64" s="131"/>
      <c r="T64" s="132"/>
      <c r="U64" s="131"/>
      <c r="V64" s="131"/>
      <c r="W64" s="133" t="s">
        <v>466</v>
      </c>
      <c r="X64" s="133"/>
      <c r="Y64" s="106" t="s">
        <v>399</v>
      </c>
      <c r="Z64" s="118"/>
      <c r="AA64" s="118"/>
      <c r="AB64" s="118"/>
      <c r="AC64" s="118"/>
      <c r="AD64" s="118"/>
      <c r="AE64" s="118"/>
      <c r="AF64" s="118"/>
      <c r="AG64" s="118"/>
      <c r="AH64" s="123">
        <f t="shared" si="1"/>
        <v>0</v>
      </c>
      <c r="AJ64" s="5"/>
      <c r="AK64" s="5"/>
      <c r="AL64" s="5"/>
    </row>
    <row r="65" spans="1:38" ht="54.95" hidden="1" customHeight="1">
      <c r="A65" s="127">
        <f>A44+1</f>
        <v>34</v>
      </c>
      <c r="B65" s="134" t="s">
        <v>290</v>
      </c>
      <c r="C65" s="129" t="s">
        <v>54</v>
      </c>
      <c r="D65" s="130" t="s">
        <v>396</v>
      </c>
      <c r="E65" s="131" t="s">
        <v>405</v>
      </c>
      <c r="F65" s="132" t="s">
        <v>408</v>
      </c>
      <c r="G65" s="131" t="s">
        <v>409</v>
      </c>
      <c r="H65" s="132" t="s">
        <v>462</v>
      </c>
      <c r="I65" s="131"/>
      <c r="J65" s="131"/>
      <c r="K65" s="131"/>
      <c r="L65" s="131"/>
      <c r="M65" s="131"/>
      <c r="N65" s="132"/>
      <c r="O65" s="131"/>
      <c r="P65" s="132"/>
      <c r="Q65" s="131"/>
      <c r="R65" s="132"/>
      <c r="S65" s="131"/>
      <c r="T65" s="132"/>
      <c r="U65" s="131"/>
      <c r="V65" s="131"/>
      <c r="W65" s="133" t="s">
        <v>465</v>
      </c>
      <c r="X65" s="133"/>
      <c r="Y65" s="106" t="s">
        <v>400</v>
      </c>
      <c r="Z65" s="118"/>
      <c r="AA65" s="118"/>
      <c r="AB65" s="118"/>
      <c r="AC65" s="118"/>
      <c r="AD65" s="118"/>
      <c r="AE65" s="118"/>
      <c r="AF65" s="118"/>
      <c r="AG65" s="118"/>
      <c r="AH65" s="123">
        <f t="shared" si="1"/>
        <v>0</v>
      </c>
      <c r="AJ65" s="5"/>
      <c r="AK65" s="5"/>
      <c r="AL65" s="5"/>
    </row>
    <row r="66" spans="1:38">
      <c r="A66" s="95" t="s">
        <v>367</v>
      </c>
      <c r="B66" s="3"/>
      <c r="C66" s="3"/>
      <c r="M66" s="2"/>
      <c r="O66" s="2"/>
      <c r="X66" s="3"/>
    </row>
    <row r="67" spans="1:38">
      <c r="A67" s="32"/>
      <c r="B67" s="3"/>
      <c r="C67" s="3"/>
      <c r="M67" s="2"/>
      <c r="O67" s="2"/>
      <c r="X67" s="3"/>
    </row>
    <row r="68" spans="1:38">
      <c r="A68" s="32"/>
      <c r="B68" s="3"/>
      <c r="C68" s="3"/>
      <c r="M68" s="2"/>
      <c r="O68" s="2"/>
      <c r="X68" s="3"/>
    </row>
    <row r="69" spans="1:38">
      <c r="A69" s="32"/>
      <c r="B69" s="3"/>
      <c r="C69" s="3"/>
      <c r="M69" s="2"/>
      <c r="O69" s="2"/>
      <c r="X69" s="3"/>
    </row>
    <row r="70" spans="1:38">
      <c r="A70" s="32"/>
      <c r="B70" s="3"/>
      <c r="C70" s="3"/>
      <c r="M70" s="2"/>
      <c r="O70" s="2"/>
      <c r="X70" s="3"/>
    </row>
    <row r="71" spans="1:38">
      <c r="A71" s="32"/>
      <c r="B71" s="3"/>
      <c r="C71" s="3"/>
      <c r="M71" s="2"/>
      <c r="O71" s="2"/>
      <c r="X71" s="3"/>
    </row>
    <row r="72" spans="1:38">
      <c r="A72" s="32"/>
      <c r="B72" s="3"/>
      <c r="C72" s="3"/>
      <c r="M72" s="2"/>
      <c r="O72" s="2"/>
      <c r="X72" s="3"/>
    </row>
    <row r="73" spans="1:38">
      <c r="A73" s="32"/>
      <c r="B73" s="3"/>
      <c r="C73" s="3"/>
      <c r="M73" s="2"/>
      <c r="O73" s="2"/>
      <c r="X73" s="3"/>
    </row>
    <row r="74" spans="1:38">
      <c r="A74" s="32"/>
      <c r="B74" s="3"/>
      <c r="C74" s="3"/>
      <c r="M74" s="2"/>
      <c r="O74" s="2"/>
      <c r="X74" s="3"/>
    </row>
    <row r="75" spans="1:38">
      <c r="A75" s="32"/>
      <c r="B75" s="3"/>
      <c r="C75" s="3"/>
      <c r="M75" s="2"/>
      <c r="O75" s="2"/>
      <c r="X75" s="3"/>
    </row>
    <row r="76" spans="1:38">
      <c r="A76" s="32"/>
      <c r="B76" s="3"/>
      <c r="C76" s="3"/>
      <c r="M76" s="2"/>
      <c r="O76" s="2"/>
      <c r="X76" s="3"/>
    </row>
    <row r="77" spans="1:38">
      <c r="A77" s="32"/>
      <c r="B77" s="3"/>
      <c r="C77" s="3"/>
      <c r="M77" s="2"/>
      <c r="O77" s="2"/>
      <c r="X77" s="3"/>
    </row>
    <row r="78" spans="1:38">
      <c r="A78" s="32"/>
      <c r="B78" s="3"/>
      <c r="C78" s="3"/>
      <c r="M78" s="2"/>
      <c r="O78" s="2"/>
      <c r="X78" s="3"/>
    </row>
    <row r="79" spans="1:38">
      <c r="A79" s="32"/>
      <c r="B79" s="3"/>
      <c r="C79" s="3"/>
      <c r="M79" s="2"/>
      <c r="O79" s="2"/>
      <c r="X79" s="3"/>
    </row>
    <row r="80" spans="1:38">
      <c r="A80" s="32"/>
      <c r="B80" s="3"/>
      <c r="C80" s="3"/>
      <c r="M80" s="2"/>
      <c r="O80" s="2"/>
      <c r="X80" s="3"/>
    </row>
    <row r="81" spans="1:24">
      <c r="A81" s="32"/>
      <c r="B81" s="3"/>
      <c r="C81" s="3"/>
      <c r="M81" s="2"/>
      <c r="O81" s="2"/>
      <c r="X81" s="3"/>
    </row>
    <row r="82" spans="1:24">
      <c r="A82" s="32"/>
      <c r="B82" s="3"/>
      <c r="C82" s="3"/>
      <c r="M82" s="2"/>
      <c r="O82" s="2"/>
      <c r="X82" s="3"/>
    </row>
    <row r="83" spans="1:24">
      <c r="A83" s="32"/>
      <c r="B83" s="3"/>
      <c r="C83" s="3"/>
      <c r="M83" s="2"/>
      <c r="O83" s="2"/>
      <c r="X83" s="3"/>
    </row>
    <row r="84" spans="1:24">
      <c r="A84" s="32"/>
      <c r="B84" s="3"/>
      <c r="C84" s="3"/>
      <c r="M84" s="2"/>
      <c r="O84" s="2"/>
      <c r="X84" s="3"/>
    </row>
    <row r="85" spans="1:24">
      <c r="A85" s="32"/>
      <c r="B85" s="3"/>
      <c r="C85" s="3"/>
      <c r="M85" s="2"/>
      <c r="O85" s="2"/>
      <c r="X85" s="3"/>
    </row>
    <row r="86" spans="1:24">
      <c r="A86" s="32"/>
      <c r="B86" s="3"/>
      <c r="C86" s="3"/>
      <c r="M86" s="2"/>
      <c r="O86" s="2"/>
      <c r="X86" s="3"/>
    </row>
    <row r="87" spans="1:24">
      <c r="A87" s="32"/>
      <c r="B87" s="3"/>
      <c r="C87" s="3"/>
      <c r="M87" s="2"/>
      <c r="O87" s="2"/>
      <c r="X87" s="3"/>
    </row>
    <row r="88" spans="1:24">
      <c r="A88" s="32"/>
      <c r="B88" s="3"/>
      <c r="C88" s="3"/>
      <c r="M88" s="2"/>
      <c r="O88" s="2"/>
      <c r="X88" s="3"/>
    </row>
    <row r="89" spans="1:24">
      <c r="A89" s="32"/>
      <c r="B89" s="3"/>
      <c r="C89" s="3"/>
      <c r="M89" s="2"/>
      <c r="O89" s="2"/>
      <c r="X89" s="3"/>
    </row>
    <row r="90" spans="1:24">
      <c r="A90" s="32"/>
      <c r="B90" s="3"/>
      <c r="C90" s="3"/>
      <c r="M90" s="2"/>
      <c r="O90" s="2"/>
      <c r="X90" s="3"/>
    </row>
    <row r="91" spans="1:24">
      <c r="A91" s="32"/>
      <c r="B91" s="3"/>
      <c r="C91" s="3"/>
      <c r="M91" s="2"/>
      <c r="O91" s="2"/>
      <c r="X91" s="3"/>
    </row>
    <row r="92" spans="1:24">
      <c r="A92" s="32"/>
      <c r="B92" s="3"/>
      <c r="C92" s="3"/>
      <c r="M92" s="2"/>
      <c r="O92" s="2"/>
      <c r="X92" s="3"/>
    </row>
    <row r="93" spans="1:24">
      <c r="A93" s="32"/>
      <c r="B93" s="3"/>
      <c r="C93" s="3"/>
      <c r="M93" s="2"/>
      <c r="O93" s="2"/>
      <c r="X93" s="3"/>
    </row>
    <row r="94" spans="1:24">
      <c r="A94" s="32"/>
      <c r="B94" s="3"/>
      <c r="C94" s="3"/>
      <c r="M94" s="2"/>
      <c r="O94" s="2"/>
      <c r="X94" s="3"/>
    </row>
    <row r="95" spans="1:24">
      <c r="A95" s="32"/>
      <c r="B95" s="3"/>
      <c r="C95" s="3"/>
      <c r="M95" s="2"/>
      <c r="O95" s="2"/>
      <c r="X95" s="3"/>
    </row>
    <row r="96" spans="1:24">
      <c r="A96" s="32"/>
      <c r="B96" s="3"/>
      <c r="C96" s="3"/>
      <c r="M96" s="2"/>
      <c r="O96" s="2"/>
      <c r="X96" s="3"/>
    </row>
    <row r="97" spans="1:24">
      <c r="A97" s="32"/>
      <c r="B97" s="3"/>
      <c r="C97" s="3"/>
      <c r="M97" s="2"/>
      <c r="O97" s="2"/>
      <c r="X97" s="3"/>
    </row>
    <row r="98" spans="1:24">
      <c r="A98" s="32"/>
      <c r="B98" s="3"/>
      <c r="C98" s="3"/>
      <c r="M98" s="2"/>
      <c r="O98" s="2"/>
      <c r="X98" s="3"/>
    </row>
    <row r="99" spans="1:24">
      <c r="A99" s="32"/>
      <c r="B99" s="3"/>
      <c r="C99" s="3"/>
      <c r="M99" s="2"/>
      <c r="O99" s="2"/>
      <c r="X99" s="3"/>
    </row>
    <row r="100" spans="1:24">
      <c r="A100" s="32"/>
      <c r="B100" s="3"/>
      <c r="C100" s="3"/>
      <c r="M100" s="2"/>
      <c r="O100" s="2"/>
      <c r="X100" s="3"/>
    </row>
    <row r="101" spans="1:24">
      <c r="A101" s="32"/>
      <c r="B101" s="3"/>
      <c r="C101" s="3"/>
      <c r="M101" s="2"/>
      <c r="O101" s="2"/>
      <c r="X101" s="3"/>
    </row>
    <row r="102" spans="1:24">
      <c r="A102" s="32"/>
      <c r="B102" s="3"/>
      <c r="C102" s="3"/>
      <c r="M102" s="2"/>
      <c r="O102" s="2"/>
      <c r="X102" s="3"/>
    </row>
    <row r="103" spans="1:24">
      <c r="A103" s="32"/>
      <c r="B103" s="3"/>
      <c r="C103" s="3"/>
      <c r="M103" s="2"/>
      <c r="O103" s="2"/>
      <c r="X103" s="3"/>
    </row>
    <row r="104" spans="1:24">
      <c r="A104" s="32"/>
      <c r="B104" s="3"/>
      <c r="C104" s="3"/>
      <c r="M104" s="2"/>
      <c r="O104" s="2"/>
      <c r="X104" s="3"/>
    </row>
    <row r="105" spans="1:24">
      <c r="A105" s="32"/>
      <c r="B105" s="3"/>
      <c r="C105" s="3"/>
      <c r="M105" s="2"/>
      <c r="O105" s="2"/>
      <c r="X105" s="3"/>
    </row>
    <row r="106" spans="1:24">
      <c r="A106" s="32"/>
      <c r="B106" s="3"/>
      <c r="C106" s="3"/>
      <c r="M106" s="2"/>
      <c r="O106" s="2"/>
      <c r="X106" s="3"/>
    </row>
    <row r="107" spans="1:24">
      <c r="A107" s="32"/>
      <c r="B107" s="3"/>
      <c r="C107" s="3"/>
      <c r="M107" s="2"/>
      <c r="O107" s="2"/>
      <c r="X107" s="3"/>
    </row>
  </sheetData>
  <autoFilter ref="A4:AN66"/>
  <mergeCells count="18">
    <mergeCell ref="W62:X62"/>
    <mergeCell ref="A1:X1"/>
    <mergeCell ref="Z1:AH1"/>
    <mergeCell ref="A3:A4"/>
    <mergeCell ref="B3:B4"/>
    <mergeCell ref="C3:C4"/>
    <mergeCell ref="D3:D4"/>
    <mergeCell ref="E3:H3"/>
    <mergeCell ref="M3:P3"/>
    <mergeCell ref="Q3:T3"/>
    <mergeCell ref="U3:V3"/>
    <mergeCell ref="AJ3:AL3"/>
    <mergeCell ref="A2:V2"/>
    <mergeCell ref="W2:X2"/>
    <mergeCell ref="Z2:AH2"/>
    <mergeCell ref="W3:W4"/>
    <mergeCell ref="X3:X4"/>
    <mergeCell ref="I3:L3"/>
  </mergeCells>
  <phoneticPr fontId="1" type="noConversion"/>
  <printOptions horizontalCentered="1"/>
  <pageMargins left="0.59055118110236227" right="0.39370078740157483" top="0.59055118110236227" bottom="0.59055118110236227" header="0.31496062992125984" footer="0.31496062992125984"/>
  <pageSetup paperSize="9" scale="44" fitToHeight="0" orientation="landscape" r:id="rId1"/>
  <colBreaks count="1" manualBreakCount="1">
    <brk id="24" max="2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1"/>
  <sheetViews>
    <sheetView view="pageBreakPreview" zoomScale="80" zoomScaleNormal="80" zoomScaleSheetLayoutView="80" workbookViewId="0">
      <pane xSplit="2" ySplit="4" topLeftCell="C11" activePane="bottomRight" state="frozen"/>
      <selection pane="topRight" activeCell="C1" sqref="C1"/>
      <selection pane="bottomLeft" activeCell="A5" sqref="A5"/>
      <selection pane="bottomRight" activeCell="K8" sqref="K8"/>
    </sheetView>
  </sheetViews>
  <sheetFormatPr defaultColWidth="9" defaultRowHeight="19.5"/>
  <cols>
    <col min="1" max="1" width="11.25" style="2" customWidth="1"/>
    <col min="2" max="2" width="37.25" style="34" customWidth="1"/>
    <col min="3" max="3" width="17.125" style="34" customWidth="1"/>
    <col min="4" max="4" width="14.875" style="2" customWidth="1"/>
    <col min="5" max="5" width="10.5" style="59" bestFit="1" customWidth="1"/>
    <col min="6" max="6" width="19.375" style="99" customWidth="1"/>
    <col min="7" max="7" width="11.625" style="38" bestFit="1" customWidth="1"/>
    <col min="8" max="8" width="12.625" style="97" customWidth="1"/>
    <col min="9" max="9" width="10.5" style="2" customWidth="1"/>
    <col min="10" max="10" width="20.5" style="2" customWidth="1"/>
    <col min="11" max="11" width="10.5" style="59" customWidth="1"/>
    <col min="12" max="12" width="13.875" style="2" customWidth="1"/>
    <col min="13" max="13" width="10.5" style="38" customWidth="1"/>
    <col min="14" max="14" width="20.5" style="99" hidden="1" customWidth="1"/>
    <col min="15" max="15" width="10.5" style="38" hidden="1" customWidth="1"/>
    <col min="16" max="16" width="13.875" style="97" hidden="1" customWidth="1"/>
    <col min="17" max="17" width="10.5" style="2" hidden="1" customWidth="1"/>
    <col min="18" max="18" width="20.625" style="97" hidden="1" customWidth="1"/>
    <col min="19" max="19" width="10.5" style="2" hidden="1" customWidth="1"/>
    <col min="20" max="20" width="12.625" style="99" hidden="1" customWidth="1"/>
    <col min="21" max="21" width="22.75" style="2" bestFit="1" customWidth="1"/>
    <col min="22" max="22" width="20.5" style="2" bestFit="1" customWidth="1"/>
    <col min="23" max="23" width="7.75" style="3" bestFit="1" customWidth="1"/>
    <col min="24" max="24" width="13.875" style="2" bestFit="1" customWidth="1"/>
    <col min="25" max="25" width="11.25" style="106" customWidth="1"/>
    <col min="26" max="26" width="11.625" style="106" customWidth="1"/>
    <col min="27" max="27" width="10" style="106" customWidth="1"/>
    <col min="28" max="28" width="10.75" style="106" customWidth="1"/>
    <col min="29" max="29" width="12.875" style="106" customWidth="1"/>
    <col min="30" max="30" width="11.375" style="106" customWidth="1"/>
    <col min="31" max="31" width="14.375" style="106" customWidth="1"/>
    <col min="32" max="33" width="14.125" style="106" customWidth="1"/>
    <col min="34" max="34" width="14" style="124" bestFit="1" customWidth="1"/>
    <col min="35" max="35" width="9" style="3"/>
    <col min="36" max="37" width="9" style="2"/>
    <col min="38" max="38" width="12.375" style="2" bestFit="1" customWidth="1"/>
    <col min="39" max="16384" width="9" style="3"/>
  </cols>
  <sheetData>
    <row r="1" spans="1:38" ht="38.25" customHeight="1">
      <c r="A1" s="151"/>
      <c r="B1" s="152"/>
      <c r="C1" s="170" t="s">
        <v>732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52"/>
      <c r="X1" s="152"/>
      <c r="Z1" s="167" t="s">
        <v>2</v>
      </c>
      <c r="AA1" s="167"/>
      <c r="AB1" s="167"/>
      <c r="AC1" s="167"/>
      <c r="AD1" s="167"/>
      <c r="AE1" s="167"/>
      <c r="AF1" s="167"/>
      <c r="AG1" s="167"/>
      <c r="AH1" s="167"/>
    </row>
    <row r="2" spans="1:38" ht="41.25" customHeight="1">
      <c r="A2" s="156" t="s">
        <v>546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8" t="s">
        <v>524</v>
      </c>
      <c r="X2" s="159"/>
      <c r="Z2" s="160" t="s">
        <v>4</v>
      </c>
      <c r="AA2" s="160"/>
      <c r="AB2" s="160"/>
      <c r="AC2" s="160"/>
      <c r="AD2" s="160"/>
      <c r="AE2" s="160"/>
      <c r="AF2" s="160"/>
      <c r="AG2" s="160"/>
      <c r="AH2" s="160"/>
    </row>
    <row r="3" spans="1:38" ht="39.75" customHeight="1">
      <c r="A3" s="168" t="s">
        <v>5</v>
      </c>
      <c r="B3" s="169" t="s">
        <v>6</v>
      </c>
      <c r="C3" s="169" t="s">
        <v>7</v>
      </c>
      <c r="D3" s="168" t="s">
        <v>8</v>
      </c>
      <c r="E3" s="162" t="s">
        <v>9</v>
      </c>
      <c r="F3" s="162"/>
      <c r="G3" s="162"/>
      <c r="H3" s="162"/>
      <c r="I3" s="162" t="s">
        <v>10</v>
      </c>
      <c r="J3" s="162"/>
      <c r="K3" s="162"/>
      <c r="L3" s="162"/>
      <c r="M3" s="162" t="s">
        <v>11</v>
      </c>
      <c r="N3" s="162"/>
      <c r="O3" s="162"/>
      <c r="P3" s="162"/>
      <c r="Q3" s="162" t="s">
        <v>12</v>
      </c>
      <c r="R3" s="162"/>
      <c r="S3" s="162"/>
      <c r="T3" s="162"/>
      <c r="U3" s="161" t="s">
        <v>13</v>
      </c>
      <c r="V3" s="161"/>
      <c r="W3" s="161" t="s">
        <v>14</v>
      </c>
      <c r="X3" s="161" t="s">
        <v>15</v>
      </c>
      <c r="Z3" s="117" t="s">
        <v>16</v>
      </c>
      <c r="AA3" s="117" t="s">
        <v>17</v>
      </c>
      <c r="AB3" s="117" t="s">
        <v>18</v>
      </c>
      <c r="AC3" s="9" t="s">
        <v>19</v>
      </c>
      <c r="AD3" s="117" t="s">
        <v>20</v>
      </c>
      <c r="AE3" s="117" t="s">
        <v>21</v>
      </c>
      <c r="AF3" s="117" t="s">
        <v>22</v>
      </c>
      <c r="AG3" s="117" t="s">
        <v>23</v>
      </c>
      <c r="AH3" s="123" t="s">
        <v>24</v>
      </c>
      <c r="AJ3" s="155" t="s">
        <v>494</v>
      </c>
      <c r="AK3" s="155"/>
      <c r="AL3" s="155"/>
    </row>
    <row r="4" spans="1:38" ht="47.25" customHeight="1">
      <c r="A4" s="168"/>
      <c r="B4" s="169"/>
      <c r="C4" s="169"/>
      <c r="D4" s="168"/>
      <c r="E4" s="35" t="s">
        <v>422</v>
      </c>
      <c r="F4" s="35" t="s">
        <v>27</v>
      </c>
      <c r="G4" s="35" t="s">
        <v>423</v>
      </c>
      <c r="H4" s="35" t="s">
        <v>30</v>
      </c>
      <c r="I4" s="35" t="s">
        <v>422</v>
      </c>
      <c r="J4" s="35" t="s">
        <v>27</v>
      </c>
      <c r="K4" s="35" t="s">
        <v>423</v>
      </c>
      <c r="L4" s="35" t="s">
        <v>30</v>
      </c>
      <c r="M4" s="35" t="s">
        <v>422</v>
      </c>
      <c r="N4" s="35" t="s">
        <v>27</v>
      </c>
      <c r="O4" s="35" t="s">
        <v>423</v>
      </c>
      <c r="P4" s="35" t="s">
        <v>30</v>
      </c>
      <c r="Q4" s="35" t="s">
        <v>422</v>
      </c>
      <c r="R4" s="35" t="s">
        <v>27</v>
      </c>
      <c r="S4" s="35" t="s">
        <v>423</v>
      </c>
      <c r="T4" s="35" t="s">
        <v>30</v>
      </c>
      <c r="U4" s="39" t="s">
        <v>33</v>
      </c>
      <c r="V4" s="39" t="s">
        <v>34</v>
      </c>
      <c r="W4" s="161"/>
      <c r="X4" s="161"/>
      <c r="Z4" s="118">
        <f t="shared" ref="Z4:AH4" si="0">SUM(Z6:Z9)</f>
        <v>0</v>
      </c>
      <c r="AA4" s="118">
        <f t="shared" si="0"/>
        <v>0</v>
      </c>
      <c r="AB4" s="118">
        <f t="shared" si="0"/>
        <v>0</v>
      </c>
      <c r="AC4" s="118">
        <f t="shared" si="0"/>
        <v>0</v>
      </c>
      <c r="AD4" s="118">
        <f t="shared" si="0"/>
        <v>1</v>
      </c>
      <c r="AE4" s="118">
        <f t="shared" si="0"/>
        <v>0</v>
      </c>
      <c r="AF4" s="118">
        <f t="shared" si="0"/>
        <v>0</v>
      </c>
      <c r="AG4" s="118">
        <f t="shared" si="0"/>
        <v>0</v>
      </c>
      <c r="AH4" s="123">
        <f t="shared" si="0"/>
        <v>1</v>
      </c>
      <c r="AJ4" s="5" t="s">
        <v>495</v>
      </c>
      <c r="AK4" s="5" t="s">
        <v>502</v>
      </c>
      <c r="AL4" s="5" t="s">
        <v>496</v>
      </c>
    </row>
    <row r="5" spans="1:38" s="42" customFormat="1" ht="54.95" customHeight="1">
      <c r="A5" s="41" t="s">
        <v>635</v>
      </c>
      <c r="B5" s="100" t="s">
        <v>501</v>
      </c>
      <c r="C5" s="92" t="s">
        <v>54</v>
      </c>
      <c r="D5" s="101" t="s">
        <v>637</v>
      </c>
      <c r="E5" s="46" t="s">
        <v>320</v>
      </c>
      <c r="F5" s="47" t="s">
        <v>497</v>
      </c>
      <c r="G5" s="46" t="s">
        <v>498</v>
      </c>
      <c r="H5" s="47" t="s">
        <v>499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47" t="s">
        <v>500</v>
      </c>
      <c r="V5" s="46"/>
      <c r="W5" s="110"/>
      <c r="X5" s="110"/>
      <c r="Y5" s="106"/>
      <c r="Z5" s="120"/>
      <c r="AA5" s="120"/>
      <c r="AB5" s="120"/>
      <c r="AC5" s="120"/>
      <c r="AD5" s="120">
        <v>1</v>
      </c>
      <c r="AE5" s="120"/>
      <c r="AF5" s="120"/>
      <c r="AG5" s="120"/>
      <c r="AH5" s="123">
        <f>SUM(AD5:AG5)</f>
        <v>1</v>
      </c>
      <c r="AJ5" s="101" t="s">
        <v>513</v>
      </c>
      <c r="AK5" s="101" t="s">
        <v>513</v>
      </c>
      <c r="AL5" s="101"/>
    </row>
    <row r="6" spans="1:38" s="42" customFormat="1" ht="54.95" customHeight="1">
      <c r="A6" s="41" t="s">
        <v>636</v>
      </c>
      <c r="B6" s="60" t="s">
        <v>503</v>
      </c>
      <c r="C6" s="14" t="s">
        <v>64</v>
      </c>
      <c r="D6" s="112" t="s">
        <v>638</v>
      </c>
      <c r="E6" s="46" t="s">
        <v>504</v>
      </c>
      <c r="F6" s="47" t="s">
        <v>505</v>
      </c>
      <c r="G6" s="27" t="s">
        <v>362</v>
      </c>
      <c r="H6" s="27" t="s">
        <v>506</v>
      </c>
      <c r="I6" s="27" t="s">
        <v>339</v>
      </c>
      <c r="J6" s="27" t="s">
        <v>507</v>
      </c>
      <c r="K6" s="27" t="s">
        <v>508</v>
      </c>
      <c r="L6" s="27" t="s">
        <v>715</v>
      </c>
      <c r="M6" s="27" t="s">
        <v>509</v>
      </c>
      <c r="N6" s="27" t="s">
        <v>510</v>
      </c>
      <c r="O6" s="27" t="s">
        <v>351</v>
      </c>
      <c r="P6" s="27" t="s">
        <v>511</v>
      </c>
      <c r="Q6" s="27"/>
      <c r="R6" s="27"/>
      <c r="S6" s="27"/>
      <c r="T6" s="27"/>
      <c r="U6" s="27" t="s">
        <v>512</v>
      </c>
      <c r="V6" s="27"/>
      <c r="W6" s="27"/>
      <c r="X6" s="47"/>
      <c r="Y6" s="106"/>
      <c r="Z6" s="120"/>
      <c r="AA6" s="120"/>
      <c r="AB6" s="120"/>
      <c r="AC6" s="120"/>
      <c r="AD6" s="120">
        <v>1</v>
      </c>
      <c r="AE6" s="120"/>
      <c r="AF6" s="120"/>
      <c r="AG6" s="120"/>
      <c r="AH6" s="123">
        <f t="shared" ref="AH6" si="1">SUM(AD6:AG6)</f>
        <v>1</v>
      </c>
      <c r="AJ6" s="101" t="s">
        <v>513</v>
      </c>
      <c r="AK6" s="101" t="s">
        <v>513</v>
      </c>
      <c r="AL6" s="101"/>
    </row>
    <row r="7" spans="1:38" s="42" customFormat="1" ht="54.95" customHeight="1">
      <c r="A7" s="41" t="s">
        <v>698</v>
      </c>
      <c r="B7" s="60" t="s">
        <v>707</v>
      </c>
      <c r="C7" s="14"/>
      <c r="D7" s="112"/>
      <c r="E7" s="46" t="s">
        <v>708</v>
      </c>
      <c r="F7" s="47" t="s">
        <v>709</v>
      </c>
      <c r="G7" s="27" t="s">
        <v>710</v>
      </c>
      <c r="H7" s="27" t="s">
        <v>711</v>
      </c>
      <c r="I7" s="27" t="s">
        <v>712</v>
      </c>
      <c r="J7" s="27" t="s">
        <v>713</v>
      </c>
      <c r="K7" s="27" t="s">
        <v>714</v>
      </c>
      <c r="L7" s="27" t="s">
        <v>716</v>
      </c>
      <c r="M7" s="27" t="s">
        <v>717</v>
      </c>
      <c r="N7" s="27" t="s">
        <v>718</v>
      </c>
      <c r="O7" s="27" t="s">
        <v>719</v>
      </c>
      <c r="P7" s="27" t="s">
        <v>721</v>
      </c>
      <c r="Q7" s="27"/>
      <c r="R7" s="27"/>
      <c r="S7" s="27"/>
      <c r="T7" s="27"/>
      <c r="U7" s="27" t="s">
        <v>720</v>
      </c>
      <c r="V7" s="27"/>
      <c r="W7" s="27"/>
      <c r="X7" s="47"/>
      <c r="Y7" s="106"/>
      <c r="Z7" s="148"/>
      <c r="AA7" s="148"/>
      <c r="AB7" s="148"/>
      <c r="AC7" s="148"/>
      <c r="AD7" s="148"/>
      <c r="AE7" s="148"/>
      <c r="AF7" s="148"/>
      <c r="AG7" s="148"/>
      <c r="AH7" s="149"/>
      <c r="AJ7" s="150"/>
      <c r="AK7" s="150"/>
      <c r="AL7" s="150"/>
    </row>
    <row r="8" spans="1:38" s="42" customFormat="1" ht="54.95" customHeight="1">
      <c r="A8" s="41" t="s">
        <v>699</v>
      </c>
      <c r="B8" s="60" t="s">
        <v>722</v>
      </c>
      <c r="C8" s="14"/>
      <c r="D8" s="112"/>
      <c r="E8" s="46" t="s">
        <v>723</v>
      </c>
      <c r="F8" s="47" t="s">
        <v>724</v>
      </c>
      <c r="G8" s="27" t="s">
        <v>725</v>
      </c>
      <c r="H8" s="27" t="s">
        <v>726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 t="s">
        <v>727</v>
      </c>
      <c r="V8" s="27"/>
      <c r="W8" s="27"/>
      <c r="X8" s="47"/>
      <c r="Y8" s="106"/>
      <c r="Z8" s="148"/>
      <c r="AA8" s="148"/>
      <c r="AB8" s="148"/>
      <c r="AC8" s="148"/>
      <c r="AD8" s="148"/>
      <c r="AE8" s="148"/>
      <c r="AF8" s="148"/>
      <c r="AG8" s="148"/>
      <c r="AH8" s="149"/>
      <c r="AJ8" s="150"/>
      <c r="AK8" s="150"/>
      <c r="AL8" s="150"/>
    </row>
    <row r="9" spans="1:38" ht="54.95" customHeight="1">
      <c r="A9" s="41" t="s">
        <v>700</v>
      </c>
      <c r="B9" s="60" t="s">
        <v>630</v>
      </c>
      <c r="C9" s="14" t="s">
        <v>64</v>
      </c>
      <c r="D9" s="112" t="s">
        <v>641</v>
      </c>
      <c r="E9" s="46" t="s">
        <v>631</v>
      </c>
      <c r="F9" s="47" t="s">
        <v>632</v>
      </c>
      <c r="G9" s="27" t="s">
        <v>633</v>
      </c>
      <c r="H9" s="27" t="s">
        <v>634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 t="s">
        <v>648</v>
      </c>
      <c r="V9" s="27"/>
      <c r="W9" s="27"/>
      <c r="X9" s="47"/>
      <c r="AF9" s="124"/>
      <c r="AG9" s="3"/>
      <c r="AH9" s="2"/>
      <c r="AI9" s="2"/>
      <c r="AK9" s="3"/>
      <c r="AL9" s="3"/>
    </row>
    <row r="10" spans="1:38" ht="54.95" customHeight="1">
      <c r="A10" s="41" t="s">
        <v>701</v>
      </c>
      <c r="B10" s="60" t="s">
        <v>639</v>
      </c>
      <c r="C10" s="14" t="s">
        <v>640</v>
      </c>
      <c r="D10" s="112" t="s">
        <v>651</v>
      </c>
      <c r="E10" s="46" t="s">
        <v>642</v>
      </c>
      <c r="F10" s="47" t="s">
        <v>643</v>
      </c>
      <c r="G10" s="27" t="s">
        <v>644</v>
      </c>
      <c r="H10" s="27" t="s">
        <v>645</v>
      </c>
      <c r="I10" s="27" t="s">
        <v>646</v>
      </c>
      <c r="J10" s="27" t="s">
        <v>663</v>
      </c>
      <c r="K10" s="27" t="s">
        <v>647</v>
      </c>
      <c r="L10" s="27" t="s">
        <v>666</v>
      </c>
      <c r="M10" s="27"/>
      <c r="N10" s="27"/>
      <c r="O10" s="27"/>
      <c r="P10" s="27"/>
      <c r="Q10" s="27"/>
      <c r="R10" s="27"/>
      <c r="S10" s="27"/>
      <c r="T10" s="27"/>
      <c r="U10" s="27" t="s">
        <v>649</v>
      </c>
      <c r="V10" s="27"/>
      <c r="W10" s="27"/>
      <c r="X10" s="47"/>
    </row>
    <row r="11" spans="1:38" s="106" customFormat="1" ht="54.95" customHeight="1">
      <c r="A11" s="41" t="s">
        <v>702</v>
      </c>
      <c r="B11" s="60" t="s">
        <v>728</v>
      </c>
      <c r="C11" s="14" t="s">
        <v>650</v>
      </c>
      <c r="D11" s="112" t="s">
        <v>641</v>
      </c>
      <c r="E11" s="46" t="s">
        <v>652</v>
      </c>
      <c r="F11" s="47" t="s">
        <v>653</v>
      </c>
      <c r="G11" s="27" t="s">
        <v>654</v>
      </c>
      <c r="H11" s="27" t="s">
        <v>655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 t="s">
        <v>656</v>
      </c>
      <c r="V11" s="27"/>
      <c r="W11" s="27"/>
      <c r="X11" s="47"/>
      <c r="AH11" s="124"/>
      <c r="AI11" s="3"/>
      <c r="AJ11" s="2"/>
      <c r="AK11" s="2"/>
      <c r="AL11" s="2"/>
    </row>
    <row r="12" spans="1:38" s="106" customFormat="1" ht="54.95" customHeight="1">
      <c r="A12" s="41" t="s">
        <v>703</v>
      </c>
      <c r="B12" s="60" t="s">
        <v>657</v>
      </c>
      <c r="C12" s="14" t="s">
        <v>650</v>
      </c>
      <c r="D12" s="112" t="s">
        <v>641</v>
      </c>
      <c r="E12" s="46" t="s">
        <v>658</v>
      </c>
      <c r="F12" s="47" t="s">
        <v>659</v>
      </c>
      <c r="G12" s="27" t="s">
        <v>660</v>
      </c>
      <c r="H12" s="27" t="s">
        <v>661</v>
      </c>
      <c r="I12" s="27" t="s">
        <v>662</v>
      </c>
      <c r="J12" s="27" t="s">
        <v>664</v>
      </c>
      <c r="K12" s="27" t="s">
        <v>665</v>
      </c>
      <c r="L12" s="27" t="s">
        <v>677</v>
      </c>
      <c r="M12" s="27"/>
      <c r="N12" s="27"/>
      <c r="O12" s="27"/>
      <c r="P12" s="27"/>
      <c r="Q12" s="27"/>
      <c r="R12" s="27"/>
      <c r="S12" s="27"/>
      <c r="T12" s="27"/>
      <c r="U12" s="27" t="s">
        <v>667</v>
      </c>
      <c r="V12" s="27"/>
      <c r="W12" s="27"/>
      <c r="X12" s="47"/>
      <c r="AH12" s="124"/>
      <c r="AI12" s="3"/>
      <c r="AJ12" s="2"/>
      <c r="AK12" s="2"/>
      <c r="AL12" s="2"/>
    </row>
    <row r="13" spans="1:38" s="106" customFormat="1" ht="54.95" customHeight="1">
      <c r="A13" s="41" t="s">
        <v>704</v>
      </c>
      <c r="B13" s="60" t="s">
        <v>668</v>
      </c>
      <c r="C13" s="14" t="s">
        <v>650</v>
      </c>
      <c r="D13" s="112" t="s">
        <v>669</v>
      </c>
      <c r="E13" s="46" t="s">
        <v>670</v>
      </c>
      <c r="F13" s="47" t="s">
        <v>671</v>
      </c>
      <c r="G13" s="27" t="s">
        <v>672</v>
      </c>
      <c r="H13" s="27" t="s">
        <v>673</v>
      </c>
      <c r="I13" s="27" t="s">
        <v>674</v>
      </c>
      <c r="J13" s="27" t="s">
        <v>675</v>
      </c>
      <c r="K13" s="27" t="s">
        <v>676</v>
      </c>
      <c r="L13" s="27" t="s">
        <v>678</v>
      </c>
      <c r="M13" s="27"/>
      <c r="N13" s="27"/>
      <c r="O13" s="27"/>
      <c r="P13" s="27"/>
      <c r="Q13" s="27"/>
      <c r="R13" s="27"/>
      <c r="S13" s="27"/>
      <c r="T13" s="27"/>
      <c r="U13" s="27" t="s">
        <v>679</v>
      </c>
      <c r="V13" s="27"/>
      <c r="W13" s="27"/>
      <c r="X13" s="47"/>
      <c r="AH13" s="124"/>
      <c r="AI13" s="3"/>
      <c r="AJ13" s="2"/>
      <c r="AK13" s="2"/>
      <c r="AL13" s="2"/>
    </row>
    <row r="14" spans="1:38" s="106" customFormat="1" ht="54.95" customHeight="1">
      <c r="A14" s="41" t="s">
        <v>705</v>
      </c>
      <c r="B14" s="60" t="s">
        <v>680</v>
      </c>
      <c r="C14" s="14" t="s">
        <v>650</v>
      </c>
      <c r="D14" s="112" t="s">
        <v>681</v>
      </c>
      <c r="E14" s="46" t="s">
        <v>682</v>
      </c>
      <c r="F14" s="47" t="s">
        <v>683</v>
      </c>
      <c r="G14" s="27" t="s">
        <v>684</v>
      </c>
      <c r="H14" s="27" t="s">
        <v>685</v>
      </c>
      <c r="I14" s="27" t="s">
        <v>686</v>
      </c>
      <c r="J14" s="27" t="s">
        <v>687</v>
      </c>
      <c r="K14" s="27" t="s">
        <v>688</v>
      </c>
      <c r="L14" s="27" t="s">
        <v>689</v>
      </c>
      <c r="M14" s="27"/>
      <c r="N14" s="27"/>
      <c r="O14" s="27"/>
      <c r="P14" s="27"/>
      <c r="Q14" s="27"/>
      <c r="R14" s="27"/>
      <c r="S14" s="27"/>
      <c r="T14" s="27"/>
      <c r="U14" s="27" t="s">
        <v>690</v>
      </c>
      <c r="V14" s="27"/>
      <c r="W14" s="27"/>
      <c r="X14" s="47"/>
      <c r="AH14" s="124"/>
      <c r="AI14" s="3"/>
      <c r="AJ14" s="2"/>
      <c r="AK14" s="2"/>
      <c r="AL14" s="2"/>
    </row>
    <row r="15" spans="1:38" s="146" customFormat="1" ht="54.95" customHeight="1">
      <c r="A15" s="41" t="s">
        <v>706</v>
      </c>
      <c r="B15" s="60" t="s">
        <v>691</v>
      </c>
      <c r="C15" s="14" t="s">
        <v>64</v>
      </c>
      <c r="D15" s="112" t="s">
        <v>692</v>
      </c>
      <c r="E15" s="46" t="s">
        <v>693</v>
      </c>
      <c r="F15" s="47" t="s">
        <v>694</v>
      </c>
      <c r="G15" s="27" t="s">
        <v>684</v>
      </c>
      <c r="H15" s="27" t="s">
        <v>696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 t="s">
        <v>697</v>
      </c>
      <c r="V15" s="27"/>
      <c r="W15" s="27"/>
      <c r="X15" s="47"/>
      <c r="AH15" s="147"/>
      <c r="AI15" s="145"/>
      <c r="AJ15" s="144"/>
      <c r="AK15" s="144"/>
      <c r="AL15" s="144"/>
    </row>
    <row r="16" spans="1:38" s="106" customFormat="1">
      <c r="A16" s="32"/>
      <c r="B16" s="3"/>
      <c r="C16" s="3"/>
      <c r="D16" s="2"/>
      <c r="E16" s="59"/>
      <c r="F16" s="99"/>
      <c r="G16" s="38"/>
      <c r="H16" s="97"/>
      <c r="I16" s="2"/>
      <c r="J16" s="2"/>
      <c r="K16" s="59"/>
      <c r="L16" s="2"/>
      <c r="M16" s="2"/>
      <c r="N16" s="99"/>
      <c r="O16" s="2"/>
      <c r="P16" s="97"/>
      <c r="Q16" s="2"/>
      <c r="R16" s="97"/>
      <c r="S16" s="2"/>
      <c r="T16" s="99"/>
      <c r="U16" s="2"/>
      <c r="V16" s="2"/>
      <c r="W16" s="3"/>
      <c r="X16" s="3"/>
      <c r="AH16" s="124"/>
      <c r="AI16" s="3"/>
      <c r="AJ16" s="2"/>
      <c r="AK16" s="2"/>
      <c r="AL16" s="2"/>
    </row>
    <row r="17" spans="1:38" s="106" customFormat="1">
      <c r="A17" s="32"/>
      <c r="B17" s="3"/>
      <c r="C17" s="3"/>
      <c r="E17" s="59"/>
      <c r="F17" s="99"/>
      <c r="G17" s="38"/>
      <c r="H17" s="97"/>
      <c r="I17" s="2"/>
      <c r="J17" s="2"/>
      <c r="K17" s="59"/>
      <c r="L17" s="2"/>
      <c r="M17" s="2"/>
      <c r="N17" s="99"/>
      <c r="O17" s="2"/>
      <c r="P17" s="97"/>
      <c r="Q17" s="2"/>
      <c r="R17" s="97"/>
      <c r="S17" s="2"/>
      <c r="T17" s="99"/>
      <c r="U17" s="2"/>
      <c r="V17" s="2"/>
      <c r="W17" s="3"/>
      <c r="X17" s="3"/>
      <c r="AH17" s="124"/>
      <c r="AI17" s="3"/>
      <c r="AJ17" s="2"/>
      <c r="AK17" s="2"/>
      <c r="AL17" s="2"/>
    </row>
    <row r="18" spans="1:38" s="106" customFormat="1">
      <c r="A18" s="32"/>
      <c r="B18" s="3"/>
      <c r="C18" s="3"/>
      <c r="D18" s="2"/>
      <c r="E18" s="59"/>
      <c r="F18" s="99"/>
      <c r="G18" s="38"/>
      <c r="H18" s="97"/>
      <c r="I18" s="2"/>
      <c r="J18" s="2"/>
      <c r="K18" s="59"/>
      <c r="L18" s="2"/>
      <c r="M18" s="2"/>
      <c r="N18" s="99"/>
      <c r="O18" s="2"/>
      <c r="P18" s="97"/>
      <c r="Q18" s="2"/>
      <c r="R18" s="97"/>
      <c r="S18" s="2"/>
      <c r="T18" s="99"/>
      <c r="U18" s="2"/>
      <c r="V18" s="2"/>
      <c r="W18" s="3"/>
      <c r="X18" s="3"/>
      <c r="AH18" s="124"/>
      <c r="AI18" s="3"/>
      <c r="AJ18" s="2"/>
      <c r="AK18" s="2"/>
      <c r="AL18" s="2"/>
    </row>
    <row r="19" spans="1:38" s="106" customFormat="1">
      <c r="A19" s="32"/>
      <c r="B19" s="3"/>
      <c r="C19" s="3"/>
      <c r="D19" s="2"/>
      <c r="E19" s="59"/>
      <c r="F19" s="99"/>
      <c r="G19" s="38"/>
      <c r="H19" s="97"/>
      <c r="I19" s="2"/>
      <c r="J19" s="2"/>
      <c r="K19" s="59"/>
      <c r="L19" s="2"/>
      <c r="M19" s="2"/>
      <c r="N19" s="99"/>
      <c r="O19" s="2"/>
      <c r="P19" s="97"/>
      <c r="Q19" s="2"/>
      <c r="R19" s="97"/>
      <c r="S19" s="2"/>
      <c r="T19" s="99"/>
      <c r="U19" s="2"/>
      <c r="V19" s="2"/>
      <c r="W19" s="3"/>
      <c r="X19" s="3"/>
      <c r="AH19" s="124"/>
      <c r="AI19" s="3"/>
      <c r="AJ19" s="2"/>
      <c r="AK19" s="2"/>
      <c r="AL19" s="2"/>
    </row>
    <row r="20" spans="1:38" s="106" customFormat="1">
      <c r="A20" s="32"/>
      <c r="B20" s="3"/>
      <c r="C20" s="3"/>
      <c r="D20" s="2"/>
      <c r="E20" s="59"/>
      <c r="F20" s="99"/>
      <c r="G20" s="38"/>
      <c r="H20" s="97"/>
      <c r="I20" s="2"/>
      <c r="J20" s="2"/>
      <c r="K20" s="59"/>
      <c r="L20" s="2"/>
      <c r="M20" s="2"/>
      <c r="N20" s="99"/>
      <c r="O20" s="2"/>
      <c r="P20" s="97"/>
      <c r="Q20" s="2"/>
      <c r="R20" s="97"/>
      <c r="S20" s="2"/>
      <c r="T20" s="99"/>
      <c r="U20" s="2"/>
      <c r="V20" s="2"/>
      <c r="W20" s="3"/>
      <c r="X20" s="3"/>
      <c r="AH20" s="124"/>
      <c r="AI20" s="3"/>
      <c r="AJ20" s="2"/>
      <c r="AK20" s="2"/>
      <c r="AL20" s="2"/>
    </row>
    <row r="21" spans="1:38" s="106" customFormat="1">
      <c r="A21" s="32"/>
      <c r="B21" s="3"/>
      <c r="C21" s="3"/>
      <c r="D21" s="2"/>
      <c r="E21" s="59"/>
      <c r="F21" s="99"/>
      <c r="G21" s="38"/>
      <c r="H21" s="97"/>
      <c r="I21" s="2"/>
      <c r="J21" s="2"/>
      <c r="K21" s="59"/>
      <c r="L21" s="2"/>
      <c r="M21" s="2"/>
      <c r="N21" s="99"/>
      <c r="O21" s="2"/>
      <c r="P21" s="97"/>
      <c r="Q21" s="2"/>
      <c r="R21" s="97"/>
      <c r="S21" s="2"/>
      <c r="T21" s="99"/>
      <c r="U21" s="2"/>
      <c r="V21" s="2"/>
      <c r="W21" s="3"/>
      <c r="X21" s="3"/>
      <c r="AH21" s="124"/>
      <c r="AI21" s="3"/>
      <c r="AJ21" s="2"/>
      <c r="AK21" s="2"/>
      <c r="AL21" s="2"/>
    </row>
    <row r="22" spans="1:38" s="106" customFormat="1">
      <c r="A22" s="32"/>
      <c r="B22" s="3"/>
      <c r="C22" s="3"/>
      <c r="D22" s="2"/>
      <c r="E22" s="59"/>
      <c r="F22" s="99"/>
      <c r="G22" s="38"/>
      <c r="H22" s="97"/>
      <c r="I22" s="2"/>
      <c r="J22" s="2"/>
      <c r="K22" s="59"/>
      <c r="L22" s="2"/>
      <c r="M22" s="2"/>
      <c r="N22" s="99"/>
      <c r="O22" s="2"/>
      <c r="P22" s="97"/>
      <c r="Q22" s="2"/>
      <c r="R22" s="97"/>
      <c r="S22" s="2"/>
      <c r="T22" s="99"/>
      <c r="U22" s="2"/>
      <c r="V22" s="2"/>
      <c r="W22" s="3"/>
      <c r="X22" s="3"/>
      <c r="AH22" s="124"/>
      <c r="AI22" s="3"/>
      <c r="AJ22" s="2"/>
      <c r="AK22" s="2"/>
      <c r="AL22" s="2"/>
    </row>
    <row r="23" spans="1:38" s="106" customFormat="1">
      <c r="A23" s="32"/>
      <c r="B23" s="3"/>
      <c r="C23" s="3"/>
      <c r="D23" s="2"/>
      <c r="E23" s="59"/>
      <c r="F23" s="99"/>
      <c r="G23" s="38"/>
      <c r="H23" s="97"/>
      <c r="I23" s="2"/>
      <c r="J23" s="2"/>
      <c r="K23" s="59"/>
      <c r="L23" s="2"/>
      <c r="M23" s="2"/>
      <c r="N23" s="99"/>
      <c r="O23" s="2"/>
      <c r="P23" s="97"/>
      <c r="Q23" s="2"/>
      <c r="R23" s="97"/>
      <c r="S23" s="2"/>
      <c r="T23" s="99"/>
      <c r="U23" s="2"/>
      <c r="V23" s="2"/>
      <c r="W23" s="3"/>
      <c r="X23" s="3"/>
      <c r="AH23" s="124"/>
      <c r="AI23" s="3"/>
      <c r="AJ23" s="2"/>
      <c r="AK23" s="2"/>
      <c r="AL23" s="2"/>
    </row>
    <row r="24" spans="1:38" s="106" customFormat="1">
      <c r="A24" s="32"/>
      <c r="B24" s="3"/>
      <c r="C24" s="3"/>
      <c r="D24" s="2"/>
      <c r="E24" s="59"/>
      <c r="F24" s="99"/>
      <c r="G24" s="38"/>
      <c r="H24" s="97"/>
      <c r="I24" s="2"/>
      <c r="J24" s="2"/>
      <c r="K24" s="59"/>
      <c r="L24" s="2"/>
      <c r="M24" s="2"/>
      <c r="N24" s="99"/>
      <c r="O24" s="2"/>
      <c r="P24" s="97"/>
      <c r="Q24" s="2"/>
      <c r="R24" s="97"/>
      <c r="S24" s="2"/>
      <c r="T24" s="99"/>
      <c r="U24" s="2"/>
      <c r="V24" s="2"/>
      <c r="W24" s="3"/>
      <c r="X24" s="3"/>
      <c r="AH24" s="124"/>
      <c r="AI24" s="3"/>
      <c r="AJ24" s="2"/>
      <c r="AK24" s="2"/>
      <c r="AL24" s="2"/>
    </row>
    <row r="25" spans="1:38" s="106" customFormat="1">
      <c r="A25" s="32"/>
      <c r="B25" s="3"/>
      <c r="C25" s="3"/>
      <c r="D25" s="2"/>
      <c r="E25" s="59"/>
      <c r="F25" s="99"/>
      <c r="G25" s="38"/>
      <c r="H25" s="97"/>
      <c r="I25" s="2"/>
      <c r="J25" s="2"/>
      <c r="K25" s="59"/>
      <c r="L25" s="2"/>
      <c r="M25" s="2"/>
      <c r="N25" s="99"/>
      <c r="O25" s="2"/>
      <c r="P25" s="97"/>
      <c r="Q25" s="2"/>
      <c r="R25" s="97"/>
      <c r="S25" s="2"/>
      <c r="T25" s="99"/>
      <c r="U25" s="2"/>
      <c r="V25" s="2"/>
      <c r="W25" s="3"/>
      <c r="X25" s="3"/>
      <c r="AH25" s="124"/>
      <c r="AI25" s="3"/>
      <c r="AJ25" s="2"/>
      <c r="AK25" s="2"/>
      <c r="AL25" s="2"/>
    </row>
    <row r="26" spans="1:38" s="106" customFormat="1">
      <c r="A26" s="32"/>
      <c r="B26" s="3"/>
      <c r="C26" s="3"/>
      <c r="D26" s="2"/>
      <c r="E26" s="59"/>
      <c r="F26" s="99"/>
      <c r="G26" s="38"/>
      <c r="H26" s="97"/>
      <c r="I26" s="2"/>
      <c r="J26" s="2"/>
      <c r="K26" s="59"/>
      <c r="L26" s="2"/>
      <c r="M26" s="2"/>
      <c r="N26" s="99"/>
      <c r="O26" s="2"/>
      <c r="P26" s="97"/>
      <c r="Q26" s="2"/>
      <c r="R26" s="97"/>
      <c r="S26" s="2"/>
      <c r="T26" s="99"/>
      <c r="U26" s="2"/>
      <c r="V26" s="2"/>
      <c r="W26" s="3"/>
      <c r="X26" s="3"/>
      <c r="AH26" s="124"/>
      <c r="AI26" s="3"/>
      <c r="AJ26" s="2"/>
      <c r="AK26" s="2"/>
      <c r="AL26" s="2"/>
    </row>
    <row r="27" spans="1:38" s="106" customFormat="1">
      <c r="A27" s="32"/>
      <c r="B27" s="3"/>
      <c r="C27" s="3"/>
      <c r="D27" s="2"/>
      <c r="E27" s="59"/>
      <c r="F27" s="99"/>
      <c r="G27" s="38"/>
      <c r="H27" s="97"/>
      <c r="I27" s="2"/>
      <c r="J27" s="2"/>
      <c r="K27" s="59"/>
      <c r="L27" s="2"/>
      <c r="M27" s="2"/>
      <c r="N27" s="99"/>
      <c r="O27" s="2"/>
      <c r="P27" s="97"/>
      <c r="Q27" s="2"/>
      <c r="R27" s="97"/>
      <c r="S27" s="2"/>
      <c r="T27" s="99"/>
      <c r="U27" s="2"/>
      <c r="V27" s="2"/>
      <c r="W27" s="3"/>
      <c r="X27" s="3"/>
      <c r="AH27" s="124"/>
      <c r="AI27" s="3"/>
      <c r="AJ27" s="2"/>
      <c r="AK27" s="2"/>
      <c r="AL27" s="2"/>
    </row>
    <row r="28" spans="1:38" s="106" customFormat="1">
      <c r="A28" s="32"/>
      <c r="B28" s="3"/>
      <c r="C28" s="3"/>
      <c r="D28" s="2"/>
      <c r="E28" s="59"/>
      <c r="F28" s="99"/>
      <c r="G28" s="38"/>
      <c r="H28" s="97"/>
      <c r="I28" s="2"/>
      <c r="J28" s="2"/>
      <c r="K28" s="59"/>
      <c r="L28" s="2"/>
      <c r="M28" s="2"/>
      <c r="N28" s="99"/>
      <c r="O28" s="2"/>
      <c r="P28" s="97"/>
      <c r="Q28" s="2"/>
      <c r="R28" s="97"/>
      <c r="S28" s="2"/>
      <c r="T28" s="99"/>
      <c r="U28" s="2"/>
      <c r="V28" s="2"/>
      <c r="W28" s="3"/>
      <c r="X28" s="3"/>
      <c r="AH28" s="124"/>
      <c r="AI28" s="3"/>
      <c r="AJ28" s="2"/>
      <c r="AK28" s="2"/>
      <c r="AL28" s="2"/>
    </row>
    <row r="29" spans="1:38" s="106" customFormat="1">
      <c r="A29" s="32"/>
      <c r="B29" s="3"/>
      <c r="C29" s="3"/>
      <c r="D29" s="2"/>
      <c r="E29" s="59"/>
      <c r="F29" s="99"/>
      <c r="G29" s="38"/>
      <c r="H29" s="97"/>
      <c r="I29" s="2"/>
      <c r="J29" s="2"/>
      <c r="K29" s="59"/>
      <c r="L29" s="2"/>
      <c r="M29" s="2"/>
      <c r="N29" s="99"/>
      <c r="O29" s="2"/>
      <c r="P29" s="97"/>
      <c r="Q29" s="2"/>
      <c r="R29" s="97"/>
      <c r="S29" s="2"/>
      <c r="T29" s="99"/>
      <c r="U29" s="2"/>
      <c r="V29" s="2"/>
      <c r="W29" s="3"/>
      <c r="X29" s="3"/>
      <c r="AH29" s="124"/>
      <c r="AI29" s="3"/>
      <c r="AJ29" s="2"/>
      <c r="AK29" s="2"/>
      <c r="AL29" s="2"/>
    </row>
    <row r="30" spans="1:38" s="106" customFormat="1">
      <c r="A30" s="32"/>
      <c r="B30" s="3"/>
      <c r="C30" s="3"/>
      <c r="D30" s="2"/>
      <c r="E30" s="59"/>
      <c r="F30" s="99"/>
      <c r="G30" s="38"/>
      <c r="H30" s="97"/>
      <c r="I30" s="2"/>
      <c r="J30" s="2"/>
      <c r="K30" s="59"/>
      <c r="L30" s="2"/>
      <c r="M30" s="2"/>
      <c r="N30" s="99"/>
      <c r="O30" s="2"/>
      <c r="P30" s="97"/>
      <c r="Q30" s="2"/>
      <c r="R30" s="97"/>
      <c r="S30" s="2"/>
      <c r="T30" s="99"/>
      <c r="U30" s="2"/>
      <c r="V30" s="2"/>
      <c r="W30" s="3"/>
      <c r="X30" s="3"/>
      <c r="AH30" s="124"/>
      <c r="AI30" s="3"/>
      <c r="AJ30" s="2"/>
      <c r="AK30" s="2"/>
      <c r="AL30" s="2"/>
    </row>
    <row r="31" spans="1:38" s="106" customFormat="1">
      <c r="A31" s="32"/>
      <c r="B31" s="3"/>
      <c r="C31" s="3"/>
      <c r="D31" s="2"/>
      <c r="E31" s="59"/>
      <c r="F31" s="99"/>
      <c r="G31" s="38"/>
      <c r="H31" s="97"/>
      <c r="I31" s="2"/>
      <c r="J31" s="2"/>
      <c r="K31" s="59"/>
      <c r="L31" s="2"/>
      <c r="M31" s="2"/>
      <c r="N31" s="99"/>
      <c r="O31" s="2"/>
      <c r="P31" s="97"/>
      <c r="Q31" s="2"/>
      <c r="R31" s="97"/>
      <c r="S31" s="2"/>
      <c r="T31" s="99"/>
      <c r="U31" s="2"/>
      <c r="V31" s="2"/>
      <c r="W31" s="3"/>
      <c r="X31" s="3"/>
      <c r="AH31" s="124"/>
      <c r="AI31" s="3"/>
      <c r="AJ31" s="2"/>
      <c r="AK31" s="2"/>
      <c r="AL31" s="2"/>
    </row>
    <row r="32" spans="1:38" s="106" customFormat="1">
      <c r="A32" s="32"/>
      <c r="B32" s="3"/>
      <c r="C32" s="3"/>
      <c r="D32" s="2"/>
      <c r="E32" s="59"/>
      <c r="F32" s="99"/>
      <c r="G32" s="38"/>
      <c r="H32" s="97"/>
      <c r="I32" s="2"/>
      <c r="J32" s="2"/>
      <c r="K32" s="59"/>
      <c r="L32" s="2"/>
      <c r="M32" s="2"/>
      <c r="N32" s="99"/>
      <c r="O32" s="2"/>
      <c r="P32" s="97"/>
      <c r="Q32" s="2"/>
      <c r="R32" s="97"/>
      <c r="S32" s="2"/>
      <c r="T32" s="99"/>
      <c r="U32" s="2"/>
      <c r="V32" s="2"/>
      <c r="W32" s="3"/>
      <c r="X32" s="3"/>
      <c r="AH32" s="124"/>
      <c r="AI32" s="3"/>
      <c r="AJ32" s="2"/>
      <c r="AK32" s="2"/>
      <c r="AL32" s="2"/>
    </row>
    <row r="33" spans="1:38" s="106" customFormat="1">
      <c r="A33" s="32"/>
      <c r="B33" s="3"/>
      <c r="C33" s="3"/>
      <c r="D33" s="2"/>
      <c r="E33" s="59"/>
      <c r="F33" s="99"/>
      <c r="G33" s="38"/>
      <c r="H33" s="97"/>
      <c r="I33" s="2"/>
      <c r="J33" s="2"/>
      <c r="K33" s="59"/>
      <c r="L33" s="2"/>
      <c r="M33" s="2"/>
      <c r="N33" s="99"/>
      <c r="O33" s="2"/>
      <c r="P33" s="97"/>
      <c r="Q33" s="2"/>
      <c r="R33" s="97"/>
      <c r="S33" s="2"/>
      <c r="T33" s="99"/>
      <c r="U33" s="2"/>
      <c r="V33" s="2"/>
      <c r="W33" s="3"/>
      <c r="X33" s="3"/>
      <c r="AH33" s="124"/>
      <c r="AI33" s="3"/>
      <c r="AJ33" s="2"/>
      <c r="AK33" s="2"/>
      <c r="AL33" s="2"/>
    </row>
    <row r="34" spans="1:38" s="106" customFormat="1">
      <c r="A34" s="32"/>
      <c r="B34" s="3"/>
      <c r="C34" s="3"/>
      <c r="D34" s="2"/>
      <c r="E34" s="59"/>
      <c r="F34" s="99"/>
      <c r="G34" s="38"/>
      <c r="H34" s="97"/>
      <c r="I34" s="2"/>
      <c r="J34" s="2"/>
      <c r="K34" s="59"/>
      <c r="L34" s="2"/>
      <c r="M34" s="2"/>
      <c r="N34" s="99"/>
      <c r="O34" s="2"/>
      <c r="P34" s="97"/>
      <c r="Q34" s="2"/>
      <c r="R34" s="97"/>
      <c r="S34" s="2"/>
      <c r="T34" s="99"/>
      <c r="U34" s="2"/>
      <c r="V34" s="2"/>
      <c r="W34" s="3"/>
      <c r="X34" s="3"/>
      <c r="AH34" s="124"/>
      <c r="AI34" s="3"/>
      <c r="AJ34" s="2"/>
      <c r="AK34" s="2"/>
      <c r="AL34" s="2"/>
    </row>
    <row r="35" spans="1:38" s="106" customFormat="1">
      <c r="A35" s="32"/>
      <c r="B35" s="3"/>
      <c r="C35" s="3"/>
      <c r="D35" s="2"/>
      <c r="E35" s="59"/>
      <c r="F35" s="99"/>
      <c r="G35" s="38"/>
      <c r="H35" s="97"/>
      <c r="I35" s="2"/>
      <c r="J35" s="2"/>
      <c r="K35" s="59"/>
      <c r="L35" s="2"/>
      <c r="M35" s="2"/>
      <c r="N35" s="99"/>
      <c r="O35" s="2"/>
      <c r="P35" s="97"/>
      <c r="Q35" s="2"/>
      <c r="R35" s="97"/>
      <c r="S35" s="2"/>
      <c r="T35" s="99"/>
      <c r="U35" s="2"/>
      <c r="V35" s="2"/>
      <c r="W35" s="3"/>
      <c r="X35" s="3"/>
      <c r="AH35" s="124"/>
      <c r="AI35" s="3"/>
      <c r="AJ35" s="2"/>
      <c r="AK35" s="2"/>
      <c r="AL35" s="2"/>
    </row>
    <row r="36" spans="1:38" s="106" customFormat="1">
      <c r="A36" s="32"/>
      <c r="B36" s="3"/>
      <c r="C36" s="3"/>
      <c r="D36" s="2"/>
      <c r="E36" s="59"/>
      <c r="F36" s="99"/>
      <c r="G36" s="38"/>
      <c r="H36" s="97"/>
      <c r="I36" s="2"/>
      <c r="J36" s="2"/>
      <c r="K36" s="59"/>
      <c r="L36" s="2"/>
      <c r="M36" s="2"/>
      <c r="N36" s="99"/>
      <c r="O36" s="2"/>
      <c r="P36" s="97"/>
      <c r="Q36" s="2"/>
      <c r="R36" s="97"/>
      <c r="S36" s="2"/>
      <c r="T36" s="99"/>
      <c r="U36" s="2"/>
      <c r="V36" s="2"/>
      <c r="W36" s="3"/>
      <c r="X36" s="3"/>
      <c r="AH36" s="124"/>
      <c r="AI36" s="3"/>
      <c r="AJ36" s="2"/>
      <c r="AK36" s="2"/>
      <c r="AL36" s="2"/>
    </row>
    <row r="37" spans="1:38" s="106" customFormat="1">
      <c r="A37" s="32"/>
      <c r="B37" s="3"/>
      <c r="C37" s="3"/>
      <c r="D37" s="2"/>
      <c r="E37" s="59"/>
      <c r="F37" s="99"/>
      <c r="G37" s="38"/>
      <c r="H37" s="97"/>
      <c r="I37" s="2"/>
      <c r="J37" s="2"/>
      <c r="K37" s="59"/>
      <c r="L37" s="2"/>
      <c r="M37" s="2"/>
      <c r="N37" s="99"/>
      <c r="O37" s="2"/>
      <c r="P37" s="97"/>
      <c r="Q37" s="2"/>
      <c r="R37" s="97"/>
      <c r="S37" s="2"/>
      <c r="T37" s="99"/>
      <c r="U37" s="2"/>
      <c r="V37" s="2"/>
      <c r="W37" s="3"/>
      <c r="X37" s="3"/>
      <c r="AH37" s="124"/>
      <c r="AI37" s="3"/>
      <c r="AJ37" s="2"/>
      <c r="AK37" s="2"/>
      <c r="AL37" s="2"/>
    </row>
    <row r="38" spans="1:38" s="106" customFormat="1">
      <c r="A38" s="32"/>
      <c r="B38" s="3"/>
      <c r="C38" s="3"/>
      <c r="D38" s="2"/>
      <c r="E38" s="59"/>
      <c r="F38" s="99"/>
      <c r="G38" s="38"/>
      <c r="H38" s="97"/>
      <c r="I38" s="2"/>
      <c r="J38" s="2"/>
      <c r="K38" s="59"/>
      <c r="L38" s="2"/>
      <c r="M38" s="2"/>
      <c r="N38" s="99"/>
      <c r="O38" s="2"/>
      <c r="P38" s="97"/>
      <c r="Q38" s="2"/>
      <c r="R38" s="97"/>
      <c r="S38" s="2"/>
      <c r="T38" s="99"/>
      <c r="U38" s="2"/>
      <c r="V38" s="2"/>
      <c r="W38" s="3"/>
      <c r="X38" s="3"/>
      <c r="AH38" s="124"/>
      <c r="AI38" s="3"/>
      <c r="AJ38" s="2"/>
      <c r="AK38" s="2"/>
      <c r="AL38" s="2"/>
    </row>
    <row r="39" spans="1:38" s="106" customFormat="1">
      <c r="A39" s="32"/>
      <c r="B39" s="3"/>
      <c r="C39" s="3"/>
      <c r="D39" s="2"/>
      <c r="E39" s="59"/>
      <c r="F39" s="99"/>
      <c r="G39" s="38"/>
      <c r="H39" s="97"/>
      <c r="I39" s="2"/>
      <c r="J39" s="2"/>
      <c r="K39" s="59"/>
      <c r="L39" s="2"/>
      <c r="M39" s="2"/>
      <c r="N39" s="99"/>
      <c r="O39" s="2"/>
      <c r="P39" s="97"/>
      <c r="Q39" s="2"/>
      <c r="R39" s="97"/>
      <c r="S39" s="2"/>
      <c r="T39" s="99"/>
      <c r="U39" s="2"/>
      <c r="V39" s="2"/>
      <c r="W39" s="3"/>
      <c r="X39" s="3"/>
      <c r="AH39" s="124"/>
      <c r="AI39" s="3"/>
      <c r="AJ39" s="2"/>
      <c r="AK39" s="2"/>
      <c r="AL39" s="2"/>
    </row>
    <row r="40" spans="1:38" s="106" customFormat="1">
      <c r="A40" s="32"/>
      <c r="B40" s="3"/>
      <c r="C40" s="3"/>
      <c r="D40" s="2"/>
      <c r="E40" s="59"/>
      <c r="F40" s="99"/>
      <c r="G40" s="38"/>
      <c r="H40" s="97"/>
      <c r="I40" s="2"/>
      <c r="J40" s="2"/>
      <c r="K40" s="59"/>
      <c r="L40" s="2"/>
      <c r="M40" s="2"/>
      <c r="N40" s="99"/>
      <c r="O40" s="2"/>
      <c r="P40" s="97"/>
      <c r="Q40" s="2"/>
      <c r="R40" s="97"/>
      <c r="S40" s="2"/>
      <c r="T40" s="99"/>
      <c r="U40" s="2"/>
      <c r="V40" s="2"/>
      <c r="W40" s="3"/>
      <c r="X40" s="3"/>
      <c r="AH40" s="124"/>
      <c r="AI40" s="3"/>
      <c r="AJ40" s="2"/>
      <c r="AK40" s="2"/>
      <c r="AL40" s="2"/>
    </row>
    <row r="41" spans="1:38" s="106" customFormat="1">
      <c r="A41" s="32"/>
      <c r="B41" s="3"/>
      <c r="C41" s="3"/>
      <c r="D41" s="2"/>
      <c r="E41" s="59"/>
      <c r="F41" s="99"/>
      <c r="G41" s="38"/>
      <c r="H41" s="97"/>
      <c r="I41" s="2"/>
      <c r="J41" s="2"/>
      <c r="K41" s="59"/>
      <c r="L41" s="2"/>
      <c r="M41" s="2"/>
      <c r="N41" s="99"/>
      <c r="O41" s="2"/>
      <c r="P41" s="97"/>
      <c r="Q41" s="2"/>
      <c r="R41" s="97"/>
      <c r="S41" s="2"/>
      <c r="T41" s="99"/>
      <c r="U41" s="2"/>
      <c r="V41" s="2"/>
      <c r="W41" s="3"/>
      <c r="X41" s="3"/>
      <c r="AH41" s="124"/>
      <c r="AI41" s="3"/>
      <c r="AJ41" s="2"/>
      <c r="AK41" s="2"/>
      <c r="AL41" s="2"/>
    </row>
    <row r="42" spans="1:38" s="106" customFormat="1">
      <c r="A42" s="32"/>
      <c r="B42" s="3"/>
      <c r="C42" s="3"/>
      <c r="D42" s="2"/>
      <c r="E42" s="59"/>
      <c r="F42" s="99"/>
      <c r="G42" s="38"/>
      <c r="H42" s="97"/>
      <c r="I42" s="2"/>
      <c r="J42" s="2"/>
      <c r="K42" s="59"/>
      <c r="L42" s="2"/>
      <c r="M42" s="2"/>
      <c r="N42" s="99"/>
      <c r="O42" s="2"/>
      <c r="P42" s="97"/>
      <c r="Q42" s="2"/>
      <c r="R42" s="97"/>
      <c r="S42" s="2"/>
      <c r="T42" s="99"/>
      <c r="U42" s="2"/>
      <c r="V42" s="2"/>
      <c r="W42" s="3"/>
      <c r="X42" s="3"/>
      <c r="AH42" s="124"/>
      <c r="AI42" s="3"/>
      <c r="AJ42" s="2"/>
      <c r="AK42" s="2"/>
      <c r="AL42" s="2"/>
    </row>
    <row r="43" spans="1:38" s="106" customFormat="1">
      <c r="A43" s="32"/>
      <c r="B43" s="3"/>
      <c r="C43" s="3"/>
      <c r="D43" s="2"/>
      <c r="E43" s="59"/>
      <c r="F43" s="99"/>
      <c r="G43" s="38"/>
      <c r="H43" s="97"/>
      <c r="I43" s="2"/>
      <c r="J43" s="2"/>
      <c r="K43" s="59"/>
      <c r="L43" s="2"/>
      <c r="M43" s="2"/>
      <c r="N43" s="99"/>
      <c r="O43" s="2"/>
      <c r="P43" s="97"/>
      <c r="Q43" s="2"/>
      <c r="R43" s="97"/>
      <c r="S43" s="2"/>
      <c r="T43" s="99"/>
      <c r="U43" s="2"/>
      <c r="V43" s="2"/>
      <c r="W43" s="3"/>
      <c r="X43" s="3"/>
      <c r="AH43" s="124"/>
      <c r="AI43" s="3"/>
      <c r="AJ43" s="2"/>
      <c r="AK43" s="2"/>
      <c r="AL43" s="2"/>
    </row>
    <row r="44" spans="1:38" s="106" customFormat="1">
      <c r="A44" s="32"/>
      <c r="B44" s="3"/>
      <c r="C44" s="3"/>
      <c r="D44" s="2"/>
      <c r="E44" s="59"/>
      <c r="F44" s="99"/>
      <c r="G44" s="38"/>
      <c r="H44" s="97"/>
      <c r="I44" s="2"/>
      <c r="J44" s="2"/>
      <c r="K44" s="59"/>
      <c r="L44" s="2"/>
      <c r="M44" s="2"/>
      <c r="N44" s="99"/>
      <c r="O44" s="2"/>
      <c r="P44" s="97"/>
      <c r="Q44" s="2"/>
      <c r="R44" s="97"/>
      <c r="S44" s="2"/>
      <c r="T44" s="99"/>
      <c r="U44" s="2"/>
      <c r="V44" s="2"/>
      <c r="W44" s="3"/>
      <c r="X44" s="3"/>
      <c r="AH44" s="124"/>
      <c r="AI44" s="3"/>
      <c r="AJ44" s="2"/>
      <c r="AK44" s="2"/>
      <c r="AL44" s="2"/>
    </row>
    <row r="45" spans="1:38" s="106" customFormat="1">
      <c r="A45" s="32"/>
      <c r="B45" s="3"/>
      <c r="C45" s="3"/>
      <c r="D45" s="2"/>
      <c r="E45" s="59"/>
      <c r="F45" s="99"/>
      <c r="G45" s="38"/>
      <c r="H45" s="97"/>
      <c r="I45" s="2"/>
      <c r="J45" s="2"/>
      <c r="K45" s="59"/>
      <c r="L45" s="2"/>
      <c r="M45" s="2"/>
      <c r="N45" s="99"/>
      <c r="O45" s="2"/>
      <c r="P45" s="97"/>
      <c r="Q45" s="2"/>
      <c r="R45" s="97"/>
      <c r="S45" s="2"/>
      <c r="T45" s="99"/>
      <c r="U45" s="2"/>
      <c r="V45" s="2"/>
      <c r="W45" s="3"/>
      <c r="X45" s="3"/>
      <c r="AH45" s="124"/>
      <c r="AI45" s="3"/>
      <c r="AJ45" s="2"/>
      <c r="AK45" s="2"/>
      <c r="AL45" s="2"/>
    </row>
    <row r="46" spans="1:38" s="106" customFormat="1">
      <c r="A46" s="32"/>
      <c r="B46" s="3"/>
      <c r="C46" s="3"/>
      <c r="D46" s="2"/>
      <c r="E46" s="59"/>
      <c r="F46" s="99"/>
      <c r="G46" s="38"/>
      <c r="H46" s="97"/>
      <c r="I46" s="2"/>
      <c r="J46" s="2"/>
      <c r="K46" s="59"/>
      <c r="L46" s="2"/>
      <c r="M46" s="2"/>
      <c r="N46" s="99"/>
      <c r="O46" s="2"/>
      <c r="P46" s="97"/>
      <c r="Q46" s="2"/>
      <c r="R46" s="97"/>
      <c r="S46" s="2"/>
      <c r="T46" s="99"/>
      <c r="U46" s="2"/>
      <c r="V46" s="2"/>
      <c r="W46" s="3"/>
      <c r="X46" s="3"/>
      <c r="AH46" s="124"/>
      <c r="AI46" s="3"/>
      <c r="AJ46" s="2"/>
      <c r="AK46" s="2"/>
      <c r="AL46" s="2"/>
    </row>
    <row r="47" spans="1:38" s="106" customFormat="1">
      <c r="A47" s="32"/>
      <c r="B47" s="3"/>
      <c r="C47" s="3"/>
      <c r="D47" s="2"/>
      <c r="E47" s="59"/>
      <c r="F47" s="99"/>
      <c r="G47" s="38"/>
      <c r="H47" s="97"/>
      <c r="I47" s="2"/>
      <c r="J47" s="2"/>
      <c r="K47" s="59"/>
      <c r="L47" s="2"/>
      <c r="M47" s="2"/>
      <c r="N47" s="99"/>
      <c r="O47" s="2"/>
      <c r="P47" s="97"/>
      <c r="Q47" s="2"/>
      <c r="R47" s="97"/>
      <c r="S47" s="2"/>
      <c r="T47" s="99"/>
      <c r="U47" s="2"/>
      <c r="V47" s="2"/>
      <c r="W47" s="3"/>
      <c r="X47" s="3"/>
      <c r="AH47" s="124"/>
      <c r="AI47" s="3"/>
      <c r="AJ47" s="2"/>
      <c r="AK47" s="2"/>
      <c r="AL47" s="2"/>
    </row>
    <row r="48" spans="1:38" s="106" customFormat="1">
      <c r="A48" s="32"/>
      <c r="B48" s="3"/>
      <c r="C48" s="3"/>
      <c r="D48" s="2"/>
      <c r="E48" s="59"/>
      <c r="F48" s="99"/>
      <c r="G48" s="38"/>
      <c r="H48" s="97"/>
      <c r="I48" s="2"/>
      <c r="J48" s="2"/>
      <c r="K48" s="59"/>
      <c r="L48" s="2"/>
      <c r="M48" s="2"/>
      <c r="N48" s="99"/>
      <c r="O48" s="2"/>
      <c r="P48" s="97"/>
      <c r="Q48" s="2"/>
      <c r="R48" s="97"/>
      <c r="S48" s="2"/>
      <c r="T48" s="99"/>
      <c r="U48" s="2"/>
      <c r="V48" s="2"/>
      <c r="W48" s="3"/>
      <c r="X48" s="3"/>
      <c r="AH48" s="124"/>
      <c r="AI48" s="3"/>
      <c r="AJ48" s="2"/>
      <c r="AK48" s="2"/>
      <c r="AL48" s="2"/>
    </row>
    <row r="49" spans="1:38" s="106" customFormat="1">
      <c r="A49" s="32"/>
      <c r="B49" s="3"/>
      <c r="C49" s="3"/>
      <c r="D49" s="2"/>
      <c r="E49" s="59"/>
      <c r="F49" s="99"/>
      <c r="G49" s="38"/>
      <c r="H49" s="97"/>
      <c r="I49" s="2"/>
      <c r="J49" s="2"/>
      <c r="K49" s="59"/>
      <c r="L49" s="2"/>
      <c r="M49" s="2"/>
      <c r="N49" s="99"/>
      <c r="O49" s="2"/>
      <c r="P49" s="97"/>
      <c r="Q49" s="2"/>
      <c r="R49" s="97"/>
      <c r="S49" s="2"/>
      <c r="T49" s="99"/>
      <c r="U49" s="2"/>
      <c r="V49" s="2"/>
      <c r="W49" s="3"/>
      <c r="X49" s="3"/>
      <c r="AH49" s="124"/>
      <c r="AI49" s="3"/>
      <c r="AJ49" s="2"/>
      <c r="AK49" s="2"/>
      <c r="AL49" s="2"/>
    </row>
    <row r="50" spans="1:38" s="106" customFormat="1">
      <c r="A50" s="32"/>
      <c r="B50" s="3"/>
      <c r="C50" s="3"/>
      <c r="D50" s="2"/>
      <c r="E50" s="59"/>
      <c r="F50" s="99"/>
      <c r="G50" s="38"/>
      <c r="H50" s="97"/>
      <c r="I50" s="2"/>
      <c r="J50" s="2"/>
      <c r="K50" s="59"/>
      <c r="L50" s="2"/>
      <c r="M50" s="2"/>
      <c r="N50" s="99"/>
      <c r="O50" s="2"/>
      <c r="P50" s="97"/>
      <c r="Q50" s="2"/>
      <c r="R50" s="97"/>
      <c r="S50" s="2"/>
      <c r="T50" s="99"/>
      <c r="U50" s="2"/>
      <c r="V50" s="2"/>
      <c r="W50" s="3"/>
      <c r="X50" s="3"/>
      <c r="AH50" s="124"/>
      <c r="AI50" s="3"/>
      <c r="AJ50" s="2"/>
      <c r="AK50" s="2"/>
      <c r="AL50" s="2"/>
    </row>
    <row r="51" spans="1:38" s="106" customFormat="1">
      <c r="A51" s="32"/>
      <c r="B51" s="3"/>
      <c r="C51" s="3"/>
      <c r="D51" s="2"/>
      <c r="E51" s="59"/>
      <c r="F51" s="99"/>
      <c r="G51" s="38"/>
      <c r="H51" s="97"/>
      <c r="I51" s="2"/>
      <c r="J51" s="2"/>
      <c r="K51" s="59"/>
      <c r="L51" s="2"/>
      <c r="M51" s="2"/>
      <c r="N51" s="99"/>
      <c r="O51" s="2"/>
      <c r="P51" s="97"/>
      <c r="Q51" s="2"/>
      <c r="R51" s="97"/>
      <c r="S51" s="2"/>
      <c r="T51" s="99"/>
      <c r="U51" s="2"/>
      <c r="V51" s="2"/>
      <c r="W51" s="3"/>
      <c r="X51" s="3"/>
      <c r="AH51" s="124"/>
      <c r="AI51" s="3"/>
      <c r="AJ51" s="2"/>
      <c r="AK51" s="2"/>
      <c r="AL51" s="2"/>
    </row>
  </sheetData>
  <autoFilter ref="A4:AN10"/>
  <mergeCells count="17">
    <mergeCell ref="A3:A4"/>
    <mergeCell ref="B3:B4"/>
    <mergeCell ref="C3:C4"/>
    <mergeCell ref="D3:D4"/>
    <mergeCell ref="E3:H3"/>
    <mergeCell ref="Z1:AH1"/>
    <mergeCell ref="A2:V2"/>
    <mergeCell ref="W2:X2"/>
    <mergeCell ref="Z2:AH2"/>
    <mergeCell ref="C1:V1"/>
    <mergeCell ref="AJ3:AL3"/>
    <mergeCell ref="I3:L3"/>
    <mergeCell ref="M3:P3"/>
    <mergeCell ref="Q3:T3"/>
    <mergeCell ref="U3:V3"/>
    <mergeCell ref="W3:W4"/>
    <mergeCell ref="X3:X4"/>
  </mergeCells>
  <phoneticPr fontId="1" type="noConversion"/>
  <printOptions horizontalCentered="1"/>
  <pageMargins left="0.59055118110236227" right="0.39370078740157483" top="0.59055118110236227" bottom="0.59055118110236227" header="0.31496062992125984" footer="0.31496062992125984"/>
  <pageSetup paperSize="9" scale="38" orientation="portrait" r:id="rId1"/>
  <colBreaks count="1" manualBreakCount="1">
    <brk id="22" max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view="pageBreakPreview" zoomScale="80" zoomScaleNormal="80" zoomScaleSheetLayoutView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O14" sqref="O14"/>
    </sheetView>
  </sheetViews>
  <sheetFormatPr defaultColWidth="9" defaultRowHeight="19.5"/>
  <cols>
    <col min="1" max="1" width="11.25" style="2" customWidth="1"/>
    <col min="2" max="2" width="37.25" style="34" customWidth="1"/>
    <col min="3" max="3" width="17.125" style="34" customWidth="1"/>
    <col min="4" max="4" width="14.875" style="2" customWidth="1"/>
    <col min="5" max="5" width="10.5" style="59" bestFit="1" customWidth="1"/>
    <col min="6" max="6" width="19.375" style="99" customWidth="1"/>
    <col min="7" max="7" width="11.625" style="38" bestFit="1" customWidth="1"/>
    <col min="8" max="8" width="12.625" style="97" customWidth="1"/>
    <col min="9" max="9" width="10.5" style="2" bestFit="1" customWidth="1"/>
    <col min="10" max="10" width="20.5" style="2" bestFit="1" customWidth="1"/>
    <col min="11" max="11" width="10.5" style="59" bestFit="1" customWidth="1"/>
    <col min="12" max="12" width="13.875" style="2" bestFit="1" customWidth="1"/>
    <col min="13" max="13" width="10.5" style="38" bestFit="1" customWidth="1"/>
    <col min="14" max="14" width="20.5" style="99" bestFit="1" customWidth="1"/>
    <col min="15" max="15" width="10.5" style="38" bestFit="1" customWidth="1"/>
    <col min="16" max="16" width="13.875" style="97" customWidth="1"/>
    <col min="17" max="17" width="10.5" style="2" customWidth="1"/>
    <col min="18" max="18" width="20.625" style="97" customWidth="1"/>
    <col min="19" max="19" width="10.5" style="2" customWidth="1"/>
    <col min="20" max="20" width="12.625" style="99" customWidth="1"/>
    <col min="21" max="21" width="22.75" style="2" bestFit="1" customWidth="1"/>
    <col min="22" max="22" width="20.5" style="2" bestFit="1" customWidth="1"/>
    <col min="23" max="23" width="7.75" style="3" bestFit="1" customWidth="1"/>
    <col min="24" max="24" width="13.875" style="2" bestFit="1" customWidth="1"/>
    <col min="25" max="25" width="11.25" style="106" customWidth="1"/>
    <col min="26" max="26" width="11.625" style="106" customWidth="1"/>
    <col min="27" max="27" width="10" style="106" customWidth="1"/>
    <col min="28" max="28" width="10.75" style="106" customWidth="1"/>
    <col min="29" max="29" width="12.875" style="106" customWidth="1"/>
    <col min="30" max="30" width="11.375" style="106" customWidth="1"/>
    <col min="31" max="31" width="14.375" style="106" customWidth="1"/>
    <col min="32" max="33" width="14.125" style="106" customWidth="1"/>
    <col min="34" max="34" width="14" style="124" bestFit="1" customWidth="1"/>
    <col min="35" max="35" width="9" style="3"/>
    <col min="36" max="37" width="9" style="2"/>
    <col min="38" max="38" width="12.375" style="2" bestFit="1" customWidth="1"/>
    <col min="39" max="16384" width="9" style="3"/>
  </cols>
  <sheetData>
    <row r="1" spans="1:38" ht="38.25" customHeight="1">
      <c r="A1" s="165" t="s">
        <v>1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Z1" s="167" t="s">
        <v>2</v>
      </c>
      <c r="AA1" s="167"/>
      <c r="AB1" s="167"/>
      <c r="AC1" s="167"/>
      <c r="AD1" s="167"/>
      <c r="AE1" s="167"/>
      <c r="AF1" s="167"/>
      <c r="AG1" s="167"/>
      <c r="AH1" s="167"/>
    </row>
    <row r="2" spans="1:38" ht="41.25" customHeight="1">
      <c r="A2" s="156" t="s">
        <v>547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8" t="s">
        <v>534</v>
      </c>
      <c r="X2" s="159"/>
      <c r="Z2" s="160" t="s">
        <v>4</v>
      </c>
      <c r="AA2" s="160"/>
      <c r="AB2" s="160"/>
      <c r="AC2" s="160"/>
      <c r="AD2" s="160"/>
      <c r="AE2" s="160"/>
      <c r="AF2" s="160"/>
      <c r="AG2" s="160"/>
      <c r="AH2" s="160"/>
    </row>
    <row r="3" spans="1:38" ht="39.75" customHeight="1">
      <c r="A3" s="168" t="s">
        <v>5</v>
      </c>
      <c r="B3" s="169" t="s">
        <v>6</v>
      </c>
      <c r="C3" s="169" t="s">
        <v>7</v>
      </c>
      <c r="D3" s="168" t="s">
        <v>8</v>
      </c>
      <c r="E3" s="162" t="s">
        <v>9</v>
      </c>
      <c r="F3" s="162"/>
      <c r="G3" s="162"/>
      <c r="H3" s="162"/>
      <c r="I3" s="162" t="s">
        <v>10</v>
      </c>
      <c r="J3" s="162"/>
      <c r="K3" s="162"/>
      <c r="L3" s="162"/>
      <c r="M3" s="162" t="s">
        <v>11</v>
      </c>
      <c r="N3" s="162"/>
      <c r="O3" s="162"/>
      <c r="P3" s="162"/>
      <c r="Q3" s="162" t="s">
        <v>12</v>
      </c>
      <c r="R3" s="162"/>
      <c r="S3" s="162"/>
      <c r="T3" s="162"/>
      <c r="U3" s="161" t="s">
        <v>13</v>
      </c>
      <c r="V3" s="161"/>
      <c r="W3" s="161" t="s">
        <v>14</v>
      </c>
      <c r="X3" s="161" t="s">
        <v>15</v>
      </c>
      <c r="Z3" s="117" t="s">
        <v>16</v>
      </c>
      <c r="AA3" s="117" t="s">
        <v>17</v>
      </c>
      <c r="AB3" s="117" t="s">
        <v>18</v>
      </c>
      <c r="AC3" s="9" t="s">
        <v>19</v>
      </c>
      <c r="AD3" s="117" t="s">
        <v>20</v>
      </c>
      <c r="AE3" s="117" t="s">
        <v>21</v>
      </c>
      <c r="AF3" s="117" t="s">
        <v>22</v>
      </c>
      <c r="AG3" s="117" t="s">
        <v>23</v>
      </c>
      <c r="AH3" s="123" t="s">
        <v>24</v>
      </c>
      <c r="AJ3" s="155" t="s">
        <v>494</v>
      </c>
      <c r="AK3" s="155"/>
      <c r="AL3" s="155"/>
    </row>
    <row r="4" spans="1:38" ht="47.25" customHeight="1">
      <c r="A4" s="168"/>
      <c r="B4" s="169"/>
      <c r="C4" s="169"/>
      <c r="D4" s="168"/>
      <c r="E4" s="35" t="s">
        <v>422</v>
      </c>
      <c r="F4" s="35" t="s">
        <v>27</v>
      </c>
      <c r="G4" s="35" t="s">
        <v>423</v>
      </c>
      <c r="H4" s="35" t="s">
        <v>30</v>
      </c>
      <c r="I4" s="35" t="s">
        <v>422</v>
      </c>
      <c r="J4" s="35" t="s">
        <v>27</v>
      </c>
      <c r="K4" s="35" t="s">
        <v>423</v>
      </c>
      <c r="L4" s="35" t="s">
        <v>30</v>
      </c>
      <c r="M4" s="35" t="s">
        <v>422</v>
      </c>
      <c r="N4" s="35" t="s">
        <v>27</v>
      </c>
      <c r="O4" s="35" t="s">
        <v>423</v>
      </c>
      <c r="P4" s="35" t="s">
        <v>30</v>
      </c>
      <c r="Q4" s="35" t="s">
        <v>422</v>
      </c>
      <c r="R4" s="35" t="s">
        <v>27</v>
      </c>
      <c r="S4" s="35" t="s">
        <v>423</v>
      </c>
      <c r="T4" s="35" t="s">
        <v>30</v>
      </c>
      <c r="U4" s="39" t="s">
        <v>33</v>
      </c>
      <c r="V4" s="39" t="s">
        <v>34</v>
      </c>
      <c r="W4" s="161"/>
      <c r="X4" s="161"/>
      <c r="Z4" s="118">
        <f t="shared" ref="Z4:AH4" si="0">SUM(Z6:Z7)</f>
        <v>0</v>
      </c>
      <c r="AA4" s="118">
        <f t="shared" si="0"/>
        <v>0</v>
      </c>
      <c r="AB4" s="118">
        <f t="shared" si="0"/>
        <v>0</v>
      </c>
      <c r="AC4" s="118">
        <f t="shared" si="0"/>
        <v>0</v>
      </c>
      <c r="AD4" s="118">
        <f t="shared" si="0"/>
        <v>1</v>
      </c>
      <c r="AE4" s="118">
        <f t="shared" si="0"/>
        <v>0</v>
      </c>
      <c r="AF4" s="118">
        <f t="shared" si="0"/>
        <v>0</v>
      </c>
      <c r="AG4" s="118">
        <f t="shared" si="0"/>
        <v>0</v>
      </c>
      <c r="AH4" s="123">
        <f t="shared" si="0"/>
        <v>1</v>
      </c>
      <c r="AJ4" s="5" t="s">
        <v>495</v>
      </c>
      <c r="AK4" s="5" t="s">
        <v>502</v>
      </c>
      <c r="AL4" s="5" t="s">
        <v>496</v>
      </c>
    </row>
    <row r="5" spans="1:38" s="42" customFormat="1" ht="54.95" customHeight="1">
      <c r="A5" s="12">
        <v>1</v>
      </c>
      <c r="B5" s="100" t="s">
        <v>532</v>
      </c>
      <c r="C5" s="92"/>
      <c r="D5" s="101"/>
      <c r="E5" s="46" t="s">
        <v>385</v>
      </c>
      <c r="F5" s="47" t="s">
        <v>533</v>
      </c>
      <c r="G5" s="46" t="s">
        <v>397</v>
      </c>
      <c r="H5" s="47" t="s">
        <v>535</v>
      </c>
      <c r="I5" s="46" t="s">
        <v>411</v>
      </c>
      <c r="J5" s="47" t="s">
        <v>536</v>
      </c>
      <c r="K5" s="46" t="s">
        <v>537</v>
      </c>
      <c r="L5" s="47" t="s">
        <v>538</v>
      </c>
      <c r="M5" s="46"/>
      <c r="N5" s="47"/>
      <c r="O5" s="46"/>
      <c r="P5" s="47"/>
      <c r="Q5" s="46"/>
      <c r="R5" s="47"/>
      <c r="S5" s="46"/>
      <c r="T5" s="47"/>
      <c r="U5" s="47" t="s">
        <v>544</v>
      </c>
      <c r="V5" s="46"/>
      <c r="W5" s="110"/>
      <c r="X5" s="110"/>
      <c r="Y5" s="106"/>
      <c r="Z5" s="120"/>
      <c r="AA5" s="120"/>
      <c r="AB5" s="120"/>
      <c r="AC5" s="120"/>
      <c r="AD5" s="120">
        <v>1</v>
      </c>
      <c r="AE5" s="120"/>
      <c r="AF5" s="120"/>
      <c r="AG5" s="120"/>
      <c r="AH5" s="123">
        <f>SUM(AD5:AG5)</f>
        <v>1</v>
      </c>
      <c r="AJ5" s="101" t="s">
        <v>513</v>
      </c>
      <c r="AK5" s="101" t="s">
        <v>513</v>
      </c>
      <c r="AL5" s="101"/>
    </row>
    <row r="6" spans="1:38" s="42" customFormat="1" ht="54.95" customHeight="1">
      <c r="A6" s="41" t="s">
        <v>531</v>
      </c>
      <c r="B6" s="100" t="s">
        <v>539</v>
      </c>
      <c r="C6" s="14"/>
      <c r="D6" s="112"/>
      <c r="E6" s="46" t="s">
        <v>385</v>
      </c>
      <c r="F6" s="47" t="s">
        <v>540</v>
      </c>
      <c r="G6" s="46" t="s">
        <v>397</v>
      </c>
      <c r="H6" s="47" t="s">
        <v>541</v>
      </c>
      <c r="I6" s="46" t="s">
        <v>411</v>
      </c>
      <c r="J6" s="47" t="s">
        <v>542</v>
      </c>
      <c r="K6" s="46" t="s">
        <v>537</v>
      </c>
      <c r="L6" s="47" t="s">
        <v>543</v>
      </c>
      <c r="M6" s="27"/>
      <c r="N6" s="27"/>
      <c r="O6" s="27"/>
      <c r="P6" s="27"/>
      <c r="Q6" s="27"/>
      <c r="R6" s="27"/>
      <c r="S6" s="27"/>
      <c r="T6" s="27"/>
      <c r="U6" s="47" t="s">
        <v>545</v>
      </c>
      <c r="V6" s="27"/>
      <c r="W6" s="27"/>
      <c r="X6" s="47"/>
      <c r="Y6" s="106"/>
      <c r="Z6" s="120"/>
      <c r="AA6" s="120"/>
      <c r="AB6" s="120"/>
      <c r="AC6" s="120"/>
      <c r="AD6" s="120">
        <v>1</v>
      </c>
      <c r="AE6" s="120"/>
      <c r="AF6" s="120"/>
      <c r="AG6" s="120"/>
      <c r="AH6" s="123">
        <f t="shared" ref="AH6" si="1">SUM(AD6:AG6)</f>
        <v>1</v>
      </c>
      <c r="AJ6" s="101" t="s">
        <v>513</v>
      </c>
      <c r="AK6" s="101" t="s">
        <v>513</v>
      </c>
      <c r="AL6" s="101"/>
    </row>
    <row r="8" spans="1:38">
      <c r="A8" s="95" t="s">
        <v>0</v>
      </c>
      <c r="B8" s="3"/>
      <c r="C8" s="3"/>
      <c r="M8" s="2"/>
      <c r="O8" s="2"/>
      <c r="X8" s="3"/>
    </row>
    <row r="9" spans="1:38" s="106" customFormat="1">
      <c r="A9" s="32"/>
      <c r="B9" s="3"/>
      <c r="C9" s="3"/>
      <c r="D9" s="2"/>
      <c r="E9" s="59"/>
      <c r="F9" s="99"/>
      <c r="G9" s="38"/>
      <c r="H9" s="97"/>
      <c r="I9" s="2"/>
      <c r="J9" s="2"/>
      <c r="K9" s="59"/>
      <c r="L9" s="2"/>
      <c r="M9" s="2"/>
      <c r="N9" s="99"/>
      <c r="O9" s="2"/>
      <c r="P9" s="97"/>
      <c r="Q9" s="2"/>
      <c r="R9" s="97"/>
      <c r="S9" s="2"/>
      <c r="T9" s="99"/>
      <c r="U9" s="2"/>
      <c r="V9" s="2"/>
      <c r="W9" s="3"/>
      <c r="X9" s="3"/>
      <c r="AH9" s="124"/>
      <c r="AI9" s="3"/>
      <c r="AJ9" s="2"/>
      <c r="AK9" s="2"/>
      <c r="AL9" s="2"/>
    </row>
    <row r="10" spans="1:38" s="106" customFormat="1">
      <c r="A10" s="32"/>
      <c r="B10" s="3"/>
      <c r="C10" s="3"/>
      <c r="D10" s="2"/>
      <c r="E10" s="59"/>
      <c r="F10" s="99"/>
      <c r="G10" s="38"/>
      <c r="H10" s="97"/>
      <c r="I10" s="2"/>
      <c r="J10" s="2"/>
      <c r="K10" s="59"/>
      <c r="L10" s="2"/>
      <c r="M10" s="2"/>
      <c r="N10" s="99"/>
      <c r="O10" s="2"/>
      <c r="P10" s="97"/>
      <c r="Q10" s="2"/>
      <c r="R10" s="97"/>
      <c r="S10" s="2"/>
      <c r="T10" s="99"/>
      <c r="U10" s="2"/>
      <c r="V10" s="2"/>
      <c r="W10" s="3"/>
      <c r="X10" s="3"/>
      <c r="AH10" s="124"/>
      <c r="AI10" s="3"/>
      <c r="AJ10" s="2"/>
      <c r="AK10" s="2"/>
      <c r="AL10" s="2"/>
    </row>
    <row r="11" spans="1:38" s="106" customFormat="1">
      <c r="A11" s="32"/>
      <c r="B11" s="3"/>
      <c r="C11" s="3"/>
      <c r="D11" s="2"/>
      <c r="E11" s="59"/>
      <c r="F11" s="99"/>
      <c r="G11" s="38"/>
      <c r="H11" s="97"/>
      <c r="I11" s="2"/>
      <c r="J11" s="2"/>
      <c r="K11" s="59"/>
      <c r="L11" s="2"/>
      <c r="M11" s="2"/>
      <c r="N11" s="99"/>
      <c r="O11" s="2"/>
      <c r="P11" s="97"/>
      <c r="Q11" s="2"/>
      <c r="R11" s="97"/>
      <c r="S11" s="2"/>
      <c r="T11" s="99"/>
      <c r="U11" s="2"/>
      <c r="V11" s="2"/>
      <c r="W11" s="3"/>
      <c r="X11" s="3"/>
      <c r="AH11" s="124"/>
      <c r="AI11" s="3"/>
      <c r="AJ11" s="2"/>
      <c r="AK11" s="2"/>
      <c r="AL11" s="2"/>
    </row>
    <row r="12" spans="1:38" s="106" customFormat="1">
      <c r="A12" s="32"/>
      <c r="B12" s="3"/>
      <c r="C12" s="3"/>
      <c r="D12" s="2"/>
      <c r="E12" s="59"/>
      <c r="F12" s="99"/>
      <c r="G12" s="38"/>
      <c r="H12" s="97"/>
      <c r="I12" s="2"/>
      <c r="J12" s="2"/>
      <c r="K12" s="59"/>
      <c r="L12" s="2"/>
      <c r="M12" s="2"/>
      <c r="N12" s="99"/>
      <c r="O12" s="2"/>
      <c r="P12" s="97"/>
      <c r="Q12" s="2"/>
      <c r="R12" s="97"/>
      <c r="S12" s="2"/>
      <c r="T12" s="99"/>
      <c r="U12" s="2"/>
      <c r="V12" s="2"/>
      <c r="W12" s="3"/>
      <c r="X12" s="3"/>
      <c r="AH12" s="124"/>
      <c r="AI12" s="3"/>
      <c r="AJ12" s="2"/>
      <c r="AK12" s="2"/>
      <c r="AL12" s="2"/>
    </row>
    <row r="13" spans="1:38" s="106" customFormat="1">
      <c r="A13" s="32"/>
      <c r="B13" s="3"/>
      <c r="C13" s="3"/>
      <c r="D13" s="2"/>
      <c r="E13" s="59"/>
      <c r="F13" s="99"/>
      <c r="G13" s="38"/>
      <c r="H13" s="97"/>
      <c r="I13" s="2"/>
      <c r="J13" s="2"/>
      <c r="K13" s="59"/>
      <c r="L13" s="2"/>
      <c r="M13" s="2"/>
      <c r="N13" s="99"/>
      <c r="O13" s="2"/>
      <c r="P13" s="97"/>
      <c r="Q13" s="2"/>
      <c r="R13" s="97"/>
      <c r="S13" s="2"/>
      <c r="T13" s="99"/>
      <c r="U13" s="2"/>
      <c r="V13" s="2"/>
      <c r="W13" s="3"/>
      <c r="X13" s="3"/>
      <c r="AH13" s="124"/>
      <c r="AI13" s="3"/>
      <c r="AJ13" s="2"/>
      <c r="AK13" s="2"/>
      <c r="AL13" s="2"/>
    </row>
    <row r="14" spans="1:38" s="106" customFormat="1">
      <c r="A14" s="32"/>
      <c r="B14" s="3"/>
      <c r="C14" s="3"/>
      <c r="D14" s="2"/>
      <c r="E14" s="59"/>
      <c r="F14" s="99"/>
      <c r="G14" s="38"/>
      <c r="H14" s="97"/>
      <c r="I14" s="2"/>
      <c r="J14" s="2"/>
      <c r="K14" s="59"/>
      <c r="L14" s="2"/>
      <c r="M14" s="2"/>
      <c r="N14" s="99"/>
      <c r="O14" s="2"/>
      <c r="P14" s="97"/>
      <c r="Q14" s="2"/>
      <c r="R14" s="97"/>
      <c r="S14" s="2"/>
      <c r="T14" s="99"/>
      <c r="U14" s="2"/>
      <c r="V14" s="2"/>
      <c r="W14" s="3"/>
      <c r="X14" s="3"/>
      <c r="AH14" s="124"/>
      <c r="AI14" s="3"/>
      <c r="AJ14" s="2"/>
      <c r="AK14" s="2"/>
      <c r="AL14" s="2"/>
    </row>
    <row r="15" spans="1:38" s="106" customFormat="1">
      <c r="A15" s="32"/>
      <c r="B15" s="3"/>
      <c r="C15" s="3"/>
      <c r="D15" s="2"/>
      <c r="E15" s="59"/>
      <c r="F15" s="99"/>
      <c r="G15" s="38"/>
      <c r="H15" s="97"/>
      <c r="I15" s="2"/>
      <c r="J15" s="2"/>
      <c r="K15" s="59"/>
      <c r="L15" s="2"/>
      <c r="M15" s="2"/>
      <c r="N15" s="99"/>
      <c r="O15" s="2"/>
      <c r="P15" s="97"/>
      <c r="Q15" s="2"/>
      <c r="R15" s="97"/>
      <c r="S15" s="2"/>
      <c r="T15" s="99"/>
      <c r="U15" s="2"/>
      <c r="V15" s="2"/>
      <c r="W15" s="3"/>
      <c r="X15" s="3"/>
      <c r="AH15" s="124"/>
      <c r="AI15" s="3"/>
      <c r="AJ15" s="2"/>
      <c r="AK15" s="2"/>
      <c r="AL15" s="2"/>
    </row>
    <row r="16" spans="1:38" s="106" customFormat="1">
      <c r="A16" s="32"/>
      <c r="B16" s="3"/>
      <c r="C16" s="3"/>
      <c r="D16" s="2"/>
      <c r="E16" s="59"/>
      <c r="F16" s="99"/>
      <c r="G16" s="38"/>
      <c r="H16" s="97"/>
      <c r="I16" s="2"/>
      <c r="J16" s="2"/>
      <c r="K16" s="59"/>
      <c r="L16" s="2"/>
      <c r="M16" s="2"/>
      <c r="N16" s="99"/>
      <c r="O16" s="2"/>
      <c r="P16" s="97"/>
      <c r="Q16" s="2"/>
      <c r="R16" s="97"/>
      <c r="S16" s="2"/>
      <c r="T16" s="99"/>
      <c r="U16" s="2"/>
      <c r="V16" s="2"/>
      <c r="W16" s="3"/>
      <c r="X16" s="3"/>
      <c r="AH16" s="124"/>
      <c r="AI16" s="3"/>
      <c r="AJ16" s="2"/>
      <c r="AK16" s="2"/>
      <c r="AL16" s="2"/>
    </row>
    <row r="17" spans="1:38" s="106" customFormat="1">
      <c r="A17" s="32"/>
      <c r="B17" s="3"/>
      <c r="C17" s="3"/>
      <c r="D17" s="2"/>
      <c r="E17" s="59"/>
      <c r="F17" s="99"/>
      <c r="G17" s="38"/>
      <c r="H17" s="97"/>
      <c r="I17" s="2"/>
      <c r="J17" s="2"/>
      <c r="K17" s="59"/>
      <c r="L17" s="2"/>
      <c r="M17" s="2"/>
      <c r="N17" s="99"/>
      <c r="O17" s="2"/>
      <c r="P17" s="97"/>
      <c r="Q17" s="2"/>
      <c r="R17" s="97"/>
      <c r="S17" s="2"/>
      <c r="T17" s="99"/>
      <c r="U17" s="2"/>
      <c r="V17" s="2"/>
      <c r="W17" s="3"/>
      <c r="X17" s="3"/>
      <c r="AH17" s="124"/>
      <c r="AI17" s="3"/>
      <c r="AJ17" s="2"/>
      <c r="AK17" s="2"/>
      <c r="AL17" s="2"/>
    </row>
    <row r="18" spans="1:38" s="106" customFormat="1">
      <c r="A18" s="32"/>
      <c r="B18" s="3"/>
      <c r="C18" s="3"/>
      <c r="D18" s="2"/>
      <c r="E18" s="59"/>
      <c r="F18" s="99"/>
      <c r="G18" s="38"/>
      <c r="H18" s="97"/>
      <c r="I18" s="2"/>
      <c r="J18" s="2"/>
      <c r="K18" s="59"/>
      <c r="L18" s="2"/>
      <c r="M18" s="2"/>
      <c r="N18" s="99"/>
      <c r="O18" s="2"/>
      <c r="P18" s="97"/>
      <c r="Q18" s="2"/>
      <c r="R18" s="97"/>
      <c r="S18" s="2"/>
      <c r="T18" s="99"/>
      <c r="U18" s="2"/>
      <c r="V18" s="2"/>
      <c r="W18" s="3"/>
      <c r="X18" s="3"/>
      <c r="AH18" s="124"/>
      <c r="AI18" s="3"/>
      <c r="AJ18" s="2"/>
      <c r="AK18" s="2"/>
      <c r="AL18" s="2"/>
    </row>
    <row r="19" spans="1:38" s="106" customFormat="1">
      <c r="A19" s="32"/>
      <c r="B19" s="3"/>
      <c r="C19" s="3"/>
      <c r="D19" s="2"/>
      <c r="E19" s="59"/>
      <c r="F19" s="99"/>
      <c r="G19" s="38"/>
      <c r="H19" s="97"/>
      <c r="I19" s="2"/>
      <c r="J19" s="2"/>
      <c r="K19" s="59"/>
      <c r="L19" s="2"/>
      <c r="M19" s="2"/>
      <c r="N19" s="99"/>
      <c r="O19" s="2"/>
      <c r="P19" s="97"/>
      <c r="Q19" s="2"/>
      <c r="R19" s="97"/>
      <c r="S19" s="2"/>
      <c r="T19" s="99"/>
      <c r="U19" s="2"/>
      <c r="V19" s="2"/>
      <c r="W19" s="3"/>
      <c r="X19" s="3"/>
      <c r="AH19" s="124"/>
      <c r="AI19" s="3"/>
      <c r="AJ19" s="2"/>
      <c r="AK19" s="2"/>
      <c r="AL19" s="2"/>
    </row>
    <row r="20" spans="1:38" s="106" customFormat="1">
      <c r="A20" s="32"/>
      <c r="B20" s="3"/>
      <c r="C20" s="3"/>
      <c r="D20" s="2"/>
      <c r="E20" s="59"/>
      <c r="F20" s="99"/>
      <c r="G20" s="38"/>
      <c r="H20" s="97"/>
      <c r="I20" s="2"/>
      <c r="J20" s="2"/>
      <c r="K20" s="59"/>
      <c r="L20" s="2"/>
      <c r="M20" s="2"/>
      <c r="N20" s="99"/>
      <c r="O20" s="2"/>
      <c r="P20" s="97"/>
      <c r="Q20" s="2"/>
      <c r="R20" s="97"/>
      <c r="S20" s="2"/>
      <c r="T20" s="99"/>
      <c r="U20" s="2"/>
      <c r="V20" s="2"/>
      <c r="W20" s="3"/>
      <c r="X20" s="3"/>
      <c r="AH20" s="124"/>
      <c r="AI20" s="3"/>
      <c r="AJ20" s="2"/>
      <c r="AK20" s="2"/>
      <c r="AL20" s="2"/>
    </row>
    <row r="21" spans="1:38" s="106" customFormat="1">
      <c r="A21" s="32"/>
      <c r="B21" s="3"/>
      <c r="C21" s="3"/>
      <c r="D21" s="2"/>
      <c r="E21" s="59"/>
      <c r="F21" s="99"/>
      <c r="G21" s="38"/>
      <c r="H21" s="97"/>
      <c r="I21" s="2"/>
      <c r="J21" s="2"/>
      <c r="K21" s="59"/>
      <c r="L21" s="2"/>
      <c r="M21" s="2"/>
      <c r="N21" s="99"/>
      <c r="O21" s="2"/>
      <c r="P21" s="97"/>
      <c r="Q21" s="2"/>
      <c r="R21" s="97"/>
      <c r="S21" s="2"/>
      <c r="T21" s="99"/>
      <c r="U21" s="2"/>
      <c r="V21" s="2"/>
      <c r="W21" s="3"/>
      <c r="X21" s="3"/>
      <c r="AH21" s="124"/>
      <c r="AI21" s="3"/>
      <c r="AJ21" s="2"/>
      <c r="AK21" s="2"/>
      <c r="AL21" s="2"/>
    </row>
    <row r="22" spans="1:38" s="106" customFormat="1">
      <c r="A22" s="32"/>
      <c r="B22" s="3"/>
      <c r="C22" s="3"/>
      <c r="D22" s="2"/>
      <c r="E22" s="59"/>
      <c r="F22" s="99"/>
      <c r="G22" s="38"/>
      <c r="H22" s="97"/>
      <c r="I22" s="2"/>
      <c r="J22" s="2"/>
      <c r="K22" s="59"/>
      <c r="L22" s="2"/>
      <c r="M22" s="2"/>
      <c r="N22" s="99"/>
      <c r="O22" s="2"/>
      <c r="P22" s="97"/>
      <c r="Q22" s="2"/>
      <c r="R22" s="97"/>
      <c r="S22" s="2"/>
      <c r="T22" s="99"/>
      <c r="U22" s="2"/>
      <c r="V22" s="2"/>
      <c r="W22" s="3"/>
      <c r="X22" s="3"/>
      <c r="AH22" s="124"/>
      <c r="AI22" s="3"/>
      <c r="AJ22" s="2"/>
      <c r="AK22" s="2"/>
      <c r="AL22" s="2"/>
    </row>
    <row r="23" spans="1:38" s="106" customFormat="1">
      <c r="A23" s="32"/>
      <c r="B23" s="3"/>
      <c r="C23" s="3"/>
      <c r="D23" s="2"/>
      <c r="E23" s="59"/>
      <c r="F23" s="99"/>
      <c r="G23" s="38"/>
      <c r="H23" s="97"/>
      <c r="I23" s="2"/>
      <c r="J23" s="2"/>
      <c r="K23" s="59"/>
      <c r="L23" s="2"/>
      <c r="M23" s="2"/>
      <c r="N23" s="99"/>
      <c r="O23" s="2"/>
      <c r="P23" s="97"/>
      <c r="Q23" s="2"/>
      <c r="R23" s="97"/>
      <c r="S23" s="2"/>
      <c r="T23" s="99"/>
      <c r="U23" s="2"/>
      <c r="V23" s="2"/>
      <c r="W23" s="3"/>
      <c r="X23" s="3"/>
      <c r="AH23" s="124"/>
      <c r="AI23" s="3"/>
      <c r="AJ23" s="2"/>
      <c r="AK23" s="2"/>
      <c r="AL23" s="2"/>
    </row>
    <row r="24" spans="1:38" s="106" customFormat="1">
      <c r="A24" s="32"/>
      <c r="B24" s="3"/>
      <c r="C24" s="3"/>
      <c r="D24" s="2"/>
      <c r="E24" s="59"/>
      <c r="F24" s="99"/>
      <c r="G24" s="38"/>
      <c r="H24" s="97"/>
      <c r="I24" s="2"/>
      <c r="J24" s="2"/>
      <c r="K24" s="59"/>
      <c r="L24" s="2"/>
      <c r="M24" s="2"/>
      <c r="N24" s="99"/>
      <c r="O24" s="2"/>
      <c r="P24" s="97"/>
      <c r="Q24" s="2"/>
      <c r="R24" s="97"/>
      <c r="S24" s="2"/>
      <c r="T24" s="99"/>
      <c r="U24" s="2"/>
      <c r="V24" s="2"/>
      <c r="W24" s="3"/>
      <c r="X24" s="3"/>
      <c r="AH24" s="124"/>
      <c r="AI24" s="3"/>
      <c r="AJ24" s="2"/>
      <c r="AK24" s="2"/>
      <c r="AL24" s="2"/>
    </row>
    <row r="25" spans="1:38" s="106" customFormat="1">
      <c r="A25" s="32"/>
      <c r="B25" s="3"/>
      <c r="C25" s="3"/>
      <c r="D25" s="2"/>
      <c r="E25" s="59"/>
      <c r="F25" s="99"/>
      <c r="G25" s="38"/>
      <c r="H25" s="97"/>
      <c r="I25" s="2"/>
      <c r="J25" s="2"/>
      <c r="K25" s="59"/>
      <c r="L25" s="2"/>
      <c r="M25" s="2"/>
      <c r="N25" s="99"/>
      <c r="O25" s="2"/>
      <c r="P25" s="97"/>
      <c r="Q25" s="2"/>
      <c r="R25" s="97"/>
      <c r="S25" s="2"/>
      <c r="T25" s="99"/>
      <c r="U25" s="2"/>
      <c r="V25" s="2"/>
      <c r="W25" s="3"/>
      <c r="X25" s="3"/>
      <c r="AH25" s="124"/>
      <c r="AI25" s="3"/>
      <c r="AJ25" s="2"/>
      <c r="AK25" s="2"/>
      <c r="AL25" s="2"/>
    </row>
    <row r="26" spans="1:38" s="106" customFormat="1">
      <c r="A26" s="32"/>
      <c r="B26" s="3"/>
      <c r="C26" s="3"/>
      <c r="D26" s="2"/>
      <c r="E26" s="59"/>
      <c r="F26" s="99"/>
      <c r="G26" s="38"/>
      <c r="H26" s="97"/>
      <c r="I26" s="2"/>
      <c r="J26" s="2"/>
      <c r="K26" s="59"/>
      <c r="L26" s="2"/>
      <c r="M26" s="2"/>
      <c r="N26" s="99"/>
      <c r="O26" s="2"/>
      <c r="P26" s="97"/>
      <c r="Q26" s="2"/>
      <c r="R26" s="97"/>
      <c r="S26" s="2"/>
      <c r="T26" s="99"/>
      <c r="U26" s="2"/>
      <c r="V26" s="2"/>
      <c r="W26" s="3"/>
      <c r="X26" s="3"/>
      <c r="AH26" s="124"/>
      <c r="AI26" s="3"/>
      <c r="AJ26" s="2"/>
      <c r="AK26" s="2"/>
      <c r="AL26" s="2"/>
    </row>
    <row r="27" spans="1:38" s="106" customFormat="1">
      <c r="A27" s="32"/>
      <c r="B27" s="3"/>
      <c r="C27" s="3"/>
      <c r="D27" s="2"/>
      <c r="E27" s="59"/>
      <c r="F27" s="99"/>
      <c r="G27" s="38"/>
      <c r="H27" s="97"/>
      <c r="I27" s="2"/>
      <c r="J27" s="2"/>
      <c r="K27" s="59"/>
      <c r="L27" s="2"/>
      <c r="M27" s="2"/>
      <c r="N27" s="99"/>
      <c r="O27" s="2"/>
      <c r="P27" s="97"/>
      <c r="Q27" s="2"/>
      <c r="R27" s="97"/>
      <c r="S27" s="2"/>
      <c r="T27" s="99"/>
      <c r="U27" s="2"/>
      <c r="V27" s="2"/>
      <c r="W27" s="3"/>
      <c r="X27" s="3"/>
      <c r="AH27" s="124"/>
      <c r="AI27" s="3"/>
      <c r="AJ27" s="2"/>
      <c r="AK27" s="2"/>
      <c r="AL27" s="2"/>
    </row>
    <row r="28" spans="1:38" s="106" customFormat="1">
      <c r="A28" s="32"/>
      <c r="B28" s="3"/>
      <c r="C28" s="3"/>
      <c r="D28" s="2"/>
      <c r="E28" s="59"/>
      <c r="F28" s="99"/>
      <c r="G28" s="38"/>
      <c r="H28" s="97"/>
      <c r="I28" s="2"/>
      <c r="J28" s="2"/>
      <c r="K28" s="59"/>
      <c r="L28" s="2"/>
      <c r="M28" s="2"/>
      <c r="N28" s="99"/>
      <c r="O28" s="2"/>
      <c r="P28" s="97"/>
      <c r="Q28" s="2"/>
      <c r="R28" s="97"/>
      <c r="S28" s="2"/>
      <c r="T28" s="99"/>
      <c r="U28" s="2"/>
      <c r="V28" s="2"/>
      <c r="W28" s="3"/>
      <c r="X28" s="3"/>
      <c r="AH28" s="124"/>
      <c r="AI28" s="3"/>
      <c r="AJ28" s="2"/>
      <c r="AK28" s="2"/>
      <c r="AL28" s="2"/>
    </row>
    <row r="29" spans="1:38" s="106" customFormat="1">
      <c r="A29" s="32"/>
      <c r="B29" s="3"/>
      <c r="C29" s="3"/>
      <c r="D29" s="2"/>
      <c r="E29" s="59"/>
      <c r="F29" s="99"/>
      <c r="G29" s="38"/>
      <c r="H29" s="97"/>
      <c r="I29" s="2"/>
      <c r="J29" s="2"/>
      <c r="K29" s="59"/>
      <c r="L29" s="2"/>
      <c r="M29" s="2"/>
      <c r="N29" s="99"/>
      <c r="O29" s="2"/>
      <c r="P29" s="97"/>
      <c r="Q29" s="2"/>
      <c r="R29" s="97"/>
      <c r="S29" s="2"/>
      <c r="T29" s="99"/>
      <c r="U29" s="2"/>
      <c r="V29" s="2"/>
      <c r="W29" s="3"/>
      <c r="X29" s="3"/>
      <c r="AH29" s="124"/>
      <c r="AI29" s="3"/>
      <c r="AJ29" s="2"/>
      <c r="AK29" s="2"/>
      <c r="AL29" s="2"/>
    </row>
    <row r="30" spans="1:38" s="106" customFormat="1">
      <c r="A30" s="32"/>
      <c r="B30" s="3"/>
      <c r="C30" s="3"/>
      <c r="D30" s="2"/>
      <c r="E30" s="59"/>
      <c r="F30" s="99"/>
      <c r="G30" s="38"/>
      <c r="H30" s="97"/>
      <c r="I30" s="2"/>
      <c r="J30" s="2"/>
      <c r="K30" s="59"/>
      <c r="L30" s="2"/>
      <c r="M30" s="2"/>
      <c r="N30" s="99"/>
      <c r="O30" s="2"/>
      <c r="P30" s="97"/>
      <c r="Q30" s="2"/>
      <c r="R30" s="97"/>
      <c r="S30" s="2"/>
      <c r="T30" s="99"/>
      <c r="U30" s="2"/>
      <c r="V30" s="2"/>
      <c r="W30" s="3"/>
      <c r="X30" s="3"/>
      <c r="AH30" s="124"/>
      <c r="AI30" s="3"/>
      <c r="AJ30" s="2"/>
      <c r="AK30" s="2"/>
      <c r="AL30" s="2"/>
    </row>
    <row r="31" spans="1:38" s="106" customFormat="1">
      <c r="A31" s="32"/>
      <c r="B31" s="3"/>
      <c r="C31" s="3"/>
      <c r="D31" s="2"/>
      <c r="E31" s="59"/>
      <c r="F31" s="99"/>
      <c r="G31" s="38"/>
      <c r="H31" s="97"/>
      <c r="I31" s="2"/>
      <c r="J31" s="2"/>
      <c r="K31" s="59"/>
      <c r="L31" s="2"/>
      <c r="M31" s="2"/>
      <c r="N31" s="99"/>
      <c r="O31" s="2"/>
      <c r="P31" s="97"/>
      <c r="Q31" s="2"/>
      <c r="R31" s="97"/>
      <c r="S31" s="2"/>
      <c r="T31" s="99"/>
      <c r="U31" s="2"/>
      <c r="V31" s="2"/>
      <c r="W31" s="3"/>
      <c r="X31" s="3"/>
      <c r="AH31" s="124"/>
      <c r="AI31" s="3"/>
      <c r="AJ31" s="2"/>
      <c r="AK31" s="2"/>
      <c r="AL31" s="2"/>
    </row>
    <row r="32" spans="1:38" s="106" customFormat="1">
      <c r="A32" s="32"/>
      <c r="B32" s="3"/>
      <c r="C32" s="3"/>
      <c r="D32" s="2"/>
      <c r="E32" s="59"/>
      <c r="F32" s="99"/>
      <c r="G32" s="38"/>
      <c r="H32" s="97"/>
      <c r="I32" s="2"/>
      <c r="J32" s="2"/>
      <c r="K32" s="59"/>
      <c r="L32" s="2"/>
      <c r="M32" s="2"/>
      <c r="N32" s="99"/>
      <c r="O32" s="2"/>
      <c r="P32" s="97"/>
      <c r="Q32" s="2"/>
      <c r="R32" s="97"/>
      <c r="S32" s="2"/>
      <c r="T32" s="99"/>
      <c r="U32" s="2"/>
      <c r="V32" s="2"/>
      <c r="W32" s="3"/>
      <c r="X32" s="3"/>
      <c r="AH32" s="124"/>
      <c r="AI32" s="3"/>
      <c r="AJ32" s="2"/>
      <c r="AK32" s="2"/>
      <c r="AL32" s="2"/>
    </row>
    <row r="33" spans="1:38" s="106" customFormat="1">
      <c r="A33" s="32"/>
      <c r="B33" s="3"/>
      <c r="C33" s="3"/>
      <c r="D33" s="2"/>
      <c r="E33" s="59"/>
      <c r="F33" s="99"/>
      <c r="G33" s="38"/>
      <c r="H33" s="97"/>
      <c r="I33" s="2"/>
      <c r="J33" s="2"/>
      <c r="K33" s="59"/>
      <c r="L33" s="2"/>
      <c r="M33" s="2"/>
      <c r="N33" s="99"/>
      <c r="O33" s="2"/>
      <c r="P33" s="97"/>
      <c r="Q33" s="2"/>
      <c r="R33" s="97"/>
      <c r="S33" s="2"/>
      <c r="T33" s="99"/>
      <c r="U33" s="2"/>
      <c r="V33" s="2"/>
      <c r="W33" s="3"/>
      <c r="X33" s="3"/>
      <c r="AH33" s="124"/>
      <c r="AI33" s="3"/>
      <c r="AJ33" s="2"/>
      <c r="AK33" s="2"/>
      <c r="AL33" s="2"/>
    </row>
    <row r="34" spans="1:38" s="106" customFormat="1">
      <c r="A34" s="32"/>
      <c r="B34" s="3"/>
      <c r="C34" s="3"/>
      <c r="D34" s="2"/>
      <c r="E34" s="59"/>
      <c r="F34" s="99"/>
      <c r="G34" s="38"/>
      <c r="H34" s="97"/>
      <c r="I34" s="2"/>
      <c r="J34" s="2"/>
      <c r="K34" s="59"/>
      <c r="L34" s="2"/>
      <c r="M34" s="2"/>
      <c r="N34" s="99"/>
      <c r="O34" s="2"/>
      <c r="P34" s="97"/>
      <c r="Q34" s="2"/>
      <c r="R34" s="97"/>
      <c r="S34" s="2"/>
      <c r="T34" s="99"/>
      <c r="U34" s="2"/>
      <c r="V34" s="2"/>
      <c r="W34" s="3"/>
      <c r="X34" s="3"/>
      <c r="AH34" s="124"/>
      <c r="AI34" s="3"/>
      <c r="AJ34" s="2"/>
      <c r="AK34" s="2"/>
      <c r="AL34" s="2"/>
    </row>
    <row r="35" spans="1:38" s="106" customFormat="1">
      <c r="A35" s="32"/>
      <c r="B35" s="3"/>
      <c r="C35" s="3"/>
      <c r="D35" s="2"/>
      <c r="E35" s="59"/>
      <c r="F35" s="99"/>
      <c r="G35" s="38"/>
      <c r="H35" s="97"/>
      <c r="I35" s="2"/>
      <c r="J35" s="2"/>
      <c r="K35" s="59"/>
      <c r="L35" s="2"/>
      <c r="M35" s="2"/>
      <c r="N35" s="99"/>
      <c r="O35" s="2"/>
      <c r="P35" s="97"/>
      <c r="Q35" s="2"/>
      <c r="R35" s="97"/>
      <c r="S35" s="2"/>
      <c r="T35" s="99"/>
      <c r="U35" s="2"/>
      <c r="V35" s="2"/>
      <c r="W35" s="3"/>
      <c r="X35" s="3"/>
      <c r="AH35" s="124"/>
      <c r="AI35" s="3"/>
      <c r="AJ35" s="2"/>
      <c r="AK35" s="2"/>
      <c r="AL35" s="2"/>
    </row>
    <row r="36" spans="1:38" s="106" customFormat="1">
      <c r="A36" s="32"/>
      <c r="B36" s="3"/>
      <c r="C36" s="3"/>
      <c r="D36" s="2"/>
      <c r="E36" s="59"/>
      <c r="F36" s="99"/>
      <c r="G36" s="38"/>
      <c r="H36" s="97"/>
      <c r="I36" s="2"/>
      <c r="J36" s="2"/>
      <c r="K36" s="59"/>
      <c r="L36" s="2"/>
      <c r="M36" s="2"/>
      <c r="N36" s="99"/>
      <c r="O36" s="2"/>
      <c r="P36" s="97"/>
      <c r="Q36" s="2"/>
      <c r="R36" s="97"/>
      <c r="S36" s="2"/>
      <c r="T36" s="99"/>
      <c r="U36" s="2"/>
      <c r="V36" s="2"/>
      <c r="W36" s="3"/>
      <c r="X36" s="3"/>
      <c r="AH36" s="124"/>
      <c r="AI36" s="3"/>
      <c r="AJ36" s="2"/>
      <c r="AK36" s="2"/>
      <c r="AL36" s="2"/>
    </row>
    <row r="37" spans="1:38" s="106" customFormat="1">
      <c r="A37" s="32"/>
      <c r="B37" s="3"/>
      <c r="C37" s="3"/>
      <c r="D37" s="2"/>
      <c r="E37" s="59"/>
      <c r="F37" s="99"/>
      <c r="G37" s="38"/>
      <c r="H37" s="97"/>
      <c r="I37" s="2"/>
      <c r="J37" s="2"/>
      <c r="K37" s="59"/>
      <c r="L37" s="2"/>
      <c r="M37" s="2"/>
      <c r="N37" s="99"/>
      <c r="O37" s="2"/>
      <c r="P37" s="97"/>
      <c r="Q37" s="2"/>
      <c r="R37" s="97"/>
      <c r="S37" s="2"/>
      <c r="T37" s="99"/>
      <c r="U37" s="2"/>
      <c r="V37" s="2"/>
      <c r="W37" s="3"/>
      <c r="X37" s="3"/>
      <c r="AH37" s="124"/>
      <c r="AI37" s="3"/>
      <c r="AJ37" s="2"/>
      <c r="AK37" s="2"/>
      <c r="AL37" s="2"/>
    </row>
    <row r="38" spans="1:38" s="106" customFormat="1">
      <c r="A38" s="32"/>
      <c r="B38" s="3"/>
      <c r="C38" s="3"/>
      <c r="D38" s="2"/>
      <c r="E38" s="59"/>
      <c r="F38" s="99"/>
      <c r="G38" s="38"/>
      <c r="H38" s="97"/>
      <c r="I38" s="2"/>
      <c r="J38" s="2"/>
      <c r="K38" s="59"/>
      <c r="L38" s="2"/>
      <c r="M38" s="2"/>
      <c r="N38" s="99"/>
      <c r="O38" s="2"/>
      <c r="P38" s="97"/>
      <c r="Q38" s="2"/>
      <c r="R38" s="97"/>
      <c r="S38" s="2"/>
      <c r="T38" s="99"/>
      <c r="U38" s="2"/>
      <c r="V38" s="2"/>
      <c r="W38" s="3"/>
      <c r="X38" s="3"/>
      <c r="AH38" s="124"/>
      <c r="AI38" s="3"/>
      <c r="AJ38" s="2"/>
      <c r="AK38" s="2"/>
      <c r="AL38" s="2"/>
    </row>
    <row r="39" spans="1:38" s="106" customFormat="1">
      <c r="A39" s="32"/>
      <c r="B39" s="3"/>
      <c r="C39" s="3"/>
      <c r="D39" s="2"/>
      <c r="E39" s="59"/>
      <c r="F39" s="99"/>
      <c r="G39" s="38"/>
      <c r="H39" s="97"/>
      <c r="I39" s="2"/>
      <c r="J39" s="2"/>
      <c r="K39" s="59"/>
      <c r="L39" s="2"/>
      <c r="M39" s="2"/>
      <c r="N39" s="99"/>
      <c r="O39" s="2"/>
      <c r="P39" s="97"/>
      <c r="Q39" s="2"/>
      <c r="R39" s="97"/>
      <c r="S39" s="2"/>
      <c r="T39" s="99"/>
      <c r="U39" s="2"/>
      <c r="V39" s="2"/>
      <c r="W39" s="3"/>
      <c r="X39" s="3"/>
      <c r="AH39" s="124"/>
      <c r="AI39" s="3"/>
      <c r="AJ39" s="2"/>
      <c r="AK39" s="2"/>
      <c r="AL39" s="2"/>
    </row>
    <row r="40" spans="1:38" s="106" customFormat="1">
      <c r="A40" s="32"/>
      <c r="B40" s="3"/>
      <c r="C40" s="3"/>
      <c r="D40" s="2"/>
      <c r="E40" s="59"/>
      <c r="F40" s="99"/>
      <c r="G40" s="38"/>
      <c r="H40" s="97"/>
      <c r="I40" s="2"/>
      <c r="J40" s="2"/>
      <c r="K40" s="59"/>
      <c r="L40" s="2"/>
      <c r="M40" s="2"/>
      <c r="N40" s="99"/>
      <c r="O40" s="2"/>
      <c r="P40" s="97"/>
      <c r="Q40" s="2"/>
      <c r="R40" s="97"/>
      <c r="S40" s="2"/>
      <c r="T40" s="99"/>
      <c r="U40" s="2"/>
      <c r="V40" s="2"/>
      <c r="W40" s="3"/>
      <c r="X40" s="3"/>
      <c r="AH40" s="124"/>
      <c r="AI40" s="3"/>
      <c r="AJ40" s="2"/>
      <c r="AK40" s="2"/>
      <c r="AL40" s="2"/>
    </row>
    <row r="41" spans="1:38" s="106" customFormat="1">
      <c r="A41" s="32"/>
      <c r="B41" s="3"/>
      <c r="C41" s="3"/>
      <c r="D41" s="2"/>
      <c r="E41" s="59"/>
      <c r="F41" s="99"/>
      <c r="G41" s="38"/>
      <c r="H41" s="97"/>
      <c r="I41" s="2"/>
      <c r="J41" s="2"/>
      <c r="K41" s="59"/>
      <c r="L41" s="2"/>
      <c r="M41" s="2"/>
      <c r="N41" s="99"/>
      <c r="O41" s="2"/>
      <c r="P41" s="97"/>
      <c r="Q41" s="2"/>
      <c r="R41" s="97"/>
      <c r="S41" s="2"/>
      <c r="T41" s="99"/>
      <c r="U41" s="2"/>
      <c r="V41" s="2"/>
      <c r="W41" s="3"/>
      <c r="X41" s="3"/>
      <c r="AH41" s="124"/>
      <c r="AI41" s="3"/>
      <c r="AJ41" s="2"/>
      <c r="AK41" s="2"/>
      <c r="AL41" s="2"/>
    </row>
    <row r="42" spans="1:38" s="106" customFormat="1">
      <c r="A42" s="32"/>
      <c r="B42" s="3"/>
      <c r="C42" s="3"/>
      <c r="D42" s="2"/>
      <c r="E42" s="59"/>
      <c r="F42" s="99"/>
      <c r="G42" s="38"/>
      <c r="H42" s="97"/>
      <c r="I42" s="2"/>
      <c r="J42" s="2"/>
      <c r="K42" s="59"/>
      <c r="L42" s="2"/>
      <c r="M42" s="2"/>
      <c r="N42" s="99"/>
      <c r="O42" s="2"/>
      <c r="P42" s="97"/>
      <c r="Q42" s="2"/>
      <c r="R42" s="97"/>
      <c r="S42" s="2"/>
      <c r="T42" s="99"/>
      <c r="U42" s="2"/>
      <c r="V42" s="2"/>
      <c r="W42" s="3"/>
      <c r="X42" s="3"/>
      <c r="AH42" s="124"/>
      <c r="AI42" s="3"/>
      <c r="AJ42" s="2"/>
      <c r="AK42" s="2"/>
      <c r="AL42" s="2"/>
    </row>
    <row r="43" spans="1:38" s="106" customFormat="1">
      <c r="A43" s="32"/>
      <c r="B43" s="3"/>
      <c r="C43" s="3"/>
      <c r="D43" s="2"/>
      <c r="E43" s="59"/>
      <c r="F43" s="99"/>
      <c r="G43" s="38"/>
      <c r="H43" s="97"/>
      <c r="I43" s="2"/>
      <c r="J43" s="2"/>
      <c r="K43" s="59"/>
      <c r="L43" s="2"/>
      <c r="M43" s="2"/>
      <c r="N43" s="99"/>
      <c r="O43" s="2"/>
      <c r="P43" s="97"/>
      <c r="Q43" s="2"/>
      <c r="R43" s="97"/>
      <c r="S43" s="2"/>
      <c r="T43" s="99"/>
      <c r="U43" s="2"/>
      <c r="V43" s="2"/>
      <c r="W43" s="3"/>
      <c r="X43" s="3"/>
      <c r="AH43" s="124"/>
      <c r="AI43" s="3"/>
      <c r="AJ43" s="2"/>
      <c r="AK43" s="2"/>
      <c r="AL43" s="2"/>
    </row>
    <row r="44" spans="1:38" s="106" customFormat="1">
      <c r="A44" s="32"/>
      <c r="B44" s="3"/>
      <c r="C44" s="3"/>
      <c r="D44" s="2"/>
      <c r="E44" s="59"/>
      <c r="F44" s="99"/>
      <c r="G44" s="38"/>
      <c r="H44" s="97"/>
      <c r="I44" s="2"/>
      <c r="J44" s="2"/>
      <c r="K44" s="59"/>
      <c r="L44" s="2"/>
      <c r="M44" s="2"/>
      <c r="N44" s="99"/>
      <c r="O44" s="2"/>
      <c r="P44" s="97"/>
      <c r="Q44" s="2"/>
      <c r="R44" s="97"/>
      <c r="S44" s="2"/>
      <c r="T44" s="99"/>
      <c r="U44" s="2"/>
      <c r="V44" s="2"/>
      <c r="W44" s="3"/>
      <c r="X44" s="3"/>
      <c r="AH44" s="124"/>
      <c r="AI44" s="3"/>
      <c r="AJ44" s="2"/>
      <c r="AK44" s="2"/>
      <c r="AL44" s="2"/>
    </row>
    <row r="45" spans="1:38" s="106" customFormat="1">
      <c r="A45" s="32"/>
      <c r="B45" s="3"/>
      <c r="C45" s="3"/>
      <c r="D45" s="2"/>
      <c r="E45" s="59"/>
      <c r="F45" s="99"/>
      <c r="G45" s="38"/>
      <c r="H45" s="97"/>
      <c r="I45" s="2"/>
      <c r="J45" s="2"/>
      <c r="K45" s="59"/>
      <c r="L45" s="2"/>
      <c r="M45" s="2"/>
      <c r="N45" s="99"/>
      <c r="O45" s="2"/>
      <c r="P45" s="97"/>
      <c r="Q45" s="2"/>
      <c r="R45" s="97"/>
      <c r="S45" s="2"/>
      <c r="T45" s="99"/>
      <c r="U45" s="2"/>
      <c r="V45" s="2"/>
      <c r="W45" s="3"/>
      <c r="X45" s="3"/>
      <c r="AH45" s="124"/>
      <c r="AI45" s="3"/>
      <c r="AJ45" s="2"/>
      <c r="AK45" s="2"/>
      <c r="AL45" s="2"/>
    </row>
    <row r="46" spans="1:38" s="106" customFormat="1">
      <c r="A46" s="32"/>
      <c r="B46" s="3"/>
      <c r="C46" s="3"/>
      <c r="D46" s="2"/>
      <c r="E46" s="59"/>
      <c r="F46" s="99"/>
      <c r="G46" s="38"/>
      <c r="H46" s="97"/>
      <c r="I46" s="2"/>
      <c r="J46" s="2"/>
      <c r="K46" s="59"/>
      <c r="L46" s="2"/>
      <c r="M46" s="2"/>
      <c r="N46" s="99"/>
      <c r="O46" s="2"/>
      <c r="P46" s="97"/>
      <c r="Q46" s="2"/>
      <c r="R46" s="97"/>
      <c r="S46" s="2"/>
      <c r="T46" s="99"/>
      <c r="U46" s="2"/>
      <c r="V46" s="2"/>
      <c r="W46" s="3"/>
      <c r="X46" s="3"/>
      <c r="AH46" s="124"/>
      <c r="AI46" s="3"/>
      <c r="AJ46" s="2"/>
      <c r="AK46" s="2"/>
      <c r="AL46" s="2"/>
    </row>
    <row r="47" spans="1:38" s="106" customFormat="1">
      <c r="A47" s="32"/>
      <c r="B47" s="3"/>
      <c r="C47" s="3"/>
      <c r="D47" s="2"/>
      <c r="E47" s="59"/>
      <c r="F47" s="99"/>
      <c r="G47" s="38"/>
      <c r="H47" s="97"/>
      <c r="I47" s="2"/>
      <c r="J47" s="2"/>
      <c r="K47" s="59"/>
      <c r="L47" s="2"/>
      <c r="M47" s="2"/>
      <c r="N47" s="99"/>
      <c r="O47" s="2"/>
      <c r="P47" s="97"/>
      <c r="Q47" s="2"/>
      <c r="R47" s="97"/>
      <c r="S47" s="2"/>
      <c r="T47" s="99"/>
      <c r="U47" s="2"/>
      <c r="V47" s="2"/>
      <c r="W47" s="3"/>
      <c r="X47" s="3"/>
      <c r="AH47" s="124"/>
      <c r="AI47" s="3"/>
      <c r="AJ47" s="2"/>
      <c r="AK47" s="2"/>
      <c r="AL47" s="2"/>
    </row>
    <row r="48" spans="1:38" s="106" customFormat="1">
      <c r="A48" s="32"/>
      <c r="B48" s="3"/>
      <c r="C48" s="3"/>
      <c r="D48" s="2"/>
      <c r="E48" s="59"/>
      <c r="F48" s="99"/>
      <c r="G48" s="38"/>
      <c r="H48" s="97"/>
      <c r="I48" s="2"/>
      <c r="J48" s="2"/>
      <c r="K48" s="59"/>
      <c r="L48" s="2"/>
      <c r="M48" s="2"/>
      <c r="N48" s="99"/>
      <c r="O48" s="2"/>
      <c r="P48" s="97"/>
      <c r="Q48" s="2"/>
      <c r="R48" s="97"/>
      <c r="S48" s="2"/>
      <c r="T48" s="99"/>
      <c r="U48" s="2"/>
      <c r="V48" s="2"/>
      <c r="W48" s="3"/>
      <c r="X48" s="3"/>
      <c r="AH48" s="124"/>
      <c r="AI48" s="3"/>
      <c r="AJ48" s="2"/>
      <c r="AK48" s="2"/>
      <c r="AL48" s="2"/>
    </row>
    <row r="49" spans="1:38" s="106" customFormat="1">
      <c r="A49" s="32"/>
      <c r="B49" s="3"/>
      <c r="C49" s="3"/>
      <c r="D49" s="2"/>
      <c r="E49" s="59"/>
      <c r="F49" s="99"/>
      <c r="G49" s="38"/>
      <c r="H49" s="97"/>
      <c r="I49" s="2"/>
      <c r="J49" s="2"/>
      <c r="K49" s="59"/>
      <c r="L49" s="2"/>
      <c r="M49" s="2"/>
      <c r="N49" s="99"/>
      <c r="O49" s="2"/>
      <c r="P49" s="97"/>
      <c r="Q49" s="2"/>
      <c r="R49" s="97"/>
      <c r="S49" s="2"/>
      <c r="T49" s="99"/>
      <c r="U49" s="2"/>
      <c r="V49" s="2"/>
      <c r="W49" s="3"/>
      <c r="X49" s="3"/>
      <c r="AH49" s="124"/>
      <c r="AI49" s="3"/>
      <c r="AJ49" s="2"/>
      <c r="AK49" s="2"/>
      <c r="AL49" s="2"/>
    </row>
  </sheetData>
  <autoFilter ref="A4:AN8"/>
  <mergeCells count="17">
    <mergeCell ref="AJ3:AL3"/>
    <mergeCell ref="I3:L3"/>
    <mergeCell ref="M3:P3"/>
    <mergeCell ref="Q3:T3"/>
    <mergeCell ref="U3:V3"/>
    <mergeCell ref="W3:W4"/>
    <mergeCell ref="X3:X4"/>
    <mergeCell ref="A1:X1"/>
    <mergeCell ref="Z1:AH1"/>
    <mergeCell ref="A2:V2"/>
    <mergeCell ref="W2:X2"/>
    <mergeCell ref="Z2:AH2"/>
    <mergeCell ref="A3:A4"/>
    <mergeCell ref="B3:B4"/>
    <mergeCell ref="C3:C4"/>
    <mergeCell ref="D3:D4"/>
    <mergeCell ref="E3:H3"/>
  </mergeCells>
  <phoneticPr fontId="1" type="noConversion"/>
  <printOptions horizontalCentered="1"/>
  <pageMargins left="0.59055118110236227" right="0.39370078740157483" top="0.59055118110236227" bottom="0.59055118110236227" header="0.31496062992125984" footer="0.31496062992125984"/>
  <pageSetup paperSize="8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8"/>
  <sheetViews>
    <sheetView view="pageBreakPreview" zoomScale="60" zoomScaleNormal="60" workbookViewId="0">
      <pane xSplit="4" ySplit="4" topLeftCell="E5" activePane="bottomRight" state="frozen"/>
      <selection activeCell="U12" sqref="U12"/>
      <selection pane="topRight" activeCell="U12" sqref="U12"/>
      <selection pane="bottomLeft" activeCell="U12" sqref="U12"/>
      <selection pane="bottomRight" activeCell="M11" sqref="M11"/>
    </sheetView>
  </sheetViews>
  <sheetFormatPr defaultColWidth="9" defaultRowHeight="19.5"/>
  <cols>
    <col min="1" max="1" width="11.25" style="2" customWidth="1"/>
    <col min="2" max="2" width="29" style="34" customWidth="1"/>
    <col min="3" max="3" width="17.125" style="34" customWidth="1"/>
    <col min="4" max="4" width="14.875" style="2" customWidth="1"/>
    <col min="5" max="5" width="12.625" style="38" customWidth="1"/>
    <col min="6" max="6" width="19.375" style="2" customWidth="1"/>
    <col min="7" max="7" width="13.625" style="38" customWidth="1"/>
    <col min="8" max="8" width="12.625" style="2" customWidth="1"/>
    <col min="9" max="9" width="13.5" style="2" customWidth="1"/>
    <col min="10" max="10" width="20.625" style="2" customWidth="1"/>
    <col min="11" max="11" width="15.75" style="59" customWidth="1"/>
    <col min="12" max="12" width="14.75" style="2" customWidth="1"/>
    <col min="13" max="13" width="12.625" style="38" customWidth="1"/>
    <col min="14" max="14" width="20.625" style="2" customWidth="1"/>
    <col min="15" max="15" width="12.625" style="38" customWidth="1"/>
    <col min="16" max="16" width="13.875" style="2" customWidth="1"/>
    <col min="17" max="17" width="12.625" style="2" customWidth="1"/>
    <col min="18" max="18" width="20.625" style="2" customWidth="1"/>
    <col min="19" max="19" width="12.625" style="2" customWidth="1"/>
    <col min="20" max="20" width="12.625" style="59" customWidth="1"/>
    <col min="21" max="22" width="20.625" style="2" customWidth="1"/>
    <col min="23" max="23" width="20.875" style="2" customWidth="1"/>
    <col min="24" max="24" width="20.875" style="3" customWidth="1"/>
    <col min="25" max="25" width="22.625" style="3" customWidth="1"/>
    <col min="26" max="26" width="12.75" style="2" customWidth="1"/>
    <col min="27" max="27" width="11.25" style="3" customWidth="1"/>
    <col min="28" max="28" width="11.625" style="3" customWidth="1"/>
    <col min="29" max="29" width="10" style="3" customWidth="1"/>
    <col min="30" max="30" width="10.75" style="3" customWidth="1"/>
    <col min="31" max="31" width="12.875" style="33" customWidth="1"/>
    <col min="32" max="32" width="11.375" style="33" customWidth="1"/>
    <col min="33" max="33" width="14.375" style="33" customWidth="1"/>
    <col min="34" max="35" width="14.125" style="33" customWidth="1"/>
    <col min="36" max="36" width="11.625" style="3" bestFit="1" customWidth="1"/>
    <col min="37" max="43" width="9" style="3"/>
    <col min="44" max="44" width="12.125" style="3" bestFit="1" customWidth="1"/>
    <col min="45" max="46" width="14.5" style="3" bestFit="1" customWidth="1"/>
    <col min="47" max="47" width="11.625" style="3" bestFit="1" customWidth="1"/>
    <col min="48" max="16384" width="9" style="3"/>
  </cols>
  <sheetData>
    <row r="1" spans="1:47" ht="38.25" customHeight="1">
      <c r="A1" s="165" t="s">
        <v>1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B1" s="171" t="s">
        <v>2</v>
      </c>
      <c r="AC1" s="171"/>
      <c r="AD1" s="171"/>
      <c r="AE1" s="171"/>
      <c r="AF1" s="171"/>
      <c r="AG1" s="171"/>
      <c r="AH1" s="171"/>
      <c r="AI1" s="171"/>
      <c r="AJ1" s="171"/>
      <c r="AN1" s="171" t="s">
        <v>2</v>
      </c>
      <c r="AO1" s="171"/>
      <c r="AP1" s="171"/>
      <c r="AQ1" s="171"/>
      <c r="AR1" s="171"/>
      <c r="AS1" s="171"/>
      <c r="AT1" s="171"/>
      <c r="AU1" s="171"/>
    </row>
    <row r="2" spans="1:47" ht="41.25" customHeight="1">
      <c r="A2" s="156" t="s">
        <v>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72"/>
      <c r="X2" s="1"/>
      <c r="Y2" s="158" t="s">
        <v>213</v>
      </c>
      <c r="Z2" s="159"/>
      <c r="AB2" s="173" t="s">
        <v>4</v>
      </c>
      <c r="AC2" s="174"/>
      <c r="AD2" s="174"/>
      <c r="AE2" s="174"/>
      <c r="AF2" s="174"/>
      <c r="AG2" s="174"/>
      <c r="AH2" s="174"/>
      <c r="AI2" s="174"/>
      <c r="AJ2" s="175"/>
      <c r="AN2" s="173" t="s">
        <v>4</v>
      </c>
      <c r="AO2" s="174"/>
      <c r="AP2" s="174"/>
      <c r="AQ2" s="174"/>
      <c r="AR2" s="174"/>
      <c r="AS2" s="174"/>
      <c r="AT2" s="174"/>
      <c r="AU2" s="175"/>
    </row>
    <row r="3" spans="1:47" ht="39.75" customHeight="1">
      <c r="A3" s="168" t="s">
        <v>5</v>
      </c>
      <c r="B3" s="169" t="s">
        <v>6</v>
      </c>
      <c r="C3" s="169" t="s">
        <v>7</v>
      </c>
      <c r="D3" s="168" t="s">
        <v>8</v>
      </c>
      <c r="E3" s="162" t="s">
        <v>9</v>
      </c>
      <c r="F3" s="162"/>
      <c r="G3" s="162"/>
      <c r="H3" s="162"/>
      <c r="I3" s="162" t="s">
        <v>10</v>
      </c>
      <c r="J3" s="162"/>
      <c r="K3" s="162"/>
      <c r="L3" s="162"/>
      <c r="M3" s="177" t="s">
        <v>11</v>
      </c>
      <c r="N3" s="178"/>
      <c r="O3" s="178"/>
      <c r="P3" s="179"/>
      <c r="Q3" s="162" t="s">
        <v>12</v>
      </c>
      <c r="R3" s="162"/>
      <c r="S3" s="162"/>
      <c r="T3" s="162"/>
      <c r="U3" s="161" t="s">
        <v>13</v>
      </c>
      <c r="V3" s="161"/>
      <c r="W3" s="161"/>
      <c r="X3" s="4"/>
      <c r="Y3" s="161" t="s">
        <v>14</v>
      </c>
      <c r="Z3" s="176" t="s">
        <v>15</v>
      </c>
      <c r="AB3" s="5" t="s">
        <v>16</v>
      </c>
      <c r="AC3" s="5" t="s">
        <v>17</v>
      </c>
      <c r="AD3" s="5" t="s">
        <v>18</v>
      </c>
      <c r="AE3" s="6" t="s">
        <v>19</v>
      </c>
      <c r="AF3" s="7" t="s">
        <v>20</v>
      </c>
      <c r="AG3" s="7" t="s">
        <v>21</v>
      </c>
      <c r="AH3" s="7" t="s">
        <v>22</v>
      </c>
      <c r="AI3" s="7" t="s">
        <v>23</v>
      </c>
      <c r="AJ3" s="8" t="s">
        <v>24</v>
      </c>
      <c r="AN3" s="5" t="s">
        <v>16</v>
      </c>
      <c r="AO3" s="5" t="s">
        <v>17</v>
      </c>
      <c r="AP3" s="5" t="s">
        <v>18</v>
      </c>
      <c r="AQ3" s="9" t="s">
        <v>19</v>
      </c>
      <c r="AR3" s="7" t="s">
        <v>20</v>
      </c>
      <c r="AS3" s="7" t="s">
        <v>21</v>
      </c>
      <c r="AT3" s="7" t="s">
        <v>22</v>
      </c>
      <c r="AU3" s="8" t="s">
        <v>24</v>
      </c>
    </row>
    <row r="4" spans="1:47" ht="47.25" customHeight="1">
      <c r="A4" s="168"/>
      <c r="B4" s="169"/>
      <c r="C4" s="169"/>
      <c r="D4" s="168"/>
      <c r="E4" s="35" t="s">
        <v>26</v>
      </c>
      <c r="F4" s="35" t="s">
        <v>27</v>
      </c>
      <c r="G4" s="35" t="s">
        <v>29</v>
      </c>
      <c r="H4" s="35" t="s">
        <v>30</v>
      </c>
      <c r="I4" s="35" t="s">
        <v>26</v>
      </c>
      <c r="J4" s="35" t="s">
        <v>27</v>
      </c>
      <c r="K4" s="35" t="s">
        <v>29</v>
      </c>
      <c r="L4" s="35" t="s">
        <v>30</v>
      </c>
      <c r="M4" s="35" t="s">
        <v>25</v>
      </c>
      <c r="N4" s="35" t="s">
        <v>31</v>
      </c>
      <c r="O4" s="35" t="s">
        <v>28</v>
      </c>
      <c r="P4" s="35" t="s">
        <v>32</v>
      </c>
      <c r="Q4" s="35" t="s">
        <v>26</v>
      </c>
      <c r="R4" s="35" t="s">
        <v>27</v>
      </c>
      <c r="S4" s="35" t="s">
        <v>29</v>
      </c>
      <c r="T4" s="35" t="s">
        <v>30</v>
      </c>
      <c r="U4" s="39" t="s">
        <v>33</v>
      </c>
      <c r="V4" s="39" t="s">
        <v>34</v>
      </c>
      <c r="W4" s="40"/>
      <c r="X4" s="40"/>
      <c r="Y4" s="161"/>
      <c r="Z4" s="176"/>
      <c r="AB4" s="8">
        <f t="shared" ref="AB4:AI4" si="0">SUM(AB5:AB35)</f>
        <v>0</v>
      </c>
      <c r="AC4" s="8">
        <f t="shared" si="0"/>
        <v>0</v>
      </c>
      <c r="AD4" s="8">
        <f t="shared" si="0"/>
        <v>0</v>
      </c>
      <c r="AE4" s="10">
        <f t="shared" si="0"/>
        <v>0</v>
      </c>
      <c r="AF4" s="11">
        <f t="shared" si="0"/>
        <v>0</v>
      </c>
      <c r="AG4" s="11">
        <f t="shared" si="0"/>
        <v>0</v>
      </c>
      <c r="AH4" s="11">
        <f t="shared" si="0"/>
        <v>0</v>
      </c>
      <c r="AI4" s="11">
        <f t="shared" si="0"/>
        <v>0</v>
      </c>
      <c r="AJ4" s="8">
        <f>SUM(AF4:AI4)</f>
        <v>0</v>
      </c>
      <c r="AN4" s="8">
        <f t="shared" ref="AN4:AT4" si="1">AB4</f>
        <v>0</v>
      </c>
      <c r="AO4" s="8">
        <f>AC4</f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>AJ4</f>
        <v>0</v>
      </c>
    </row>
    <row r="5" spans="1:47" ht="54.95" customHeight="1">
      <c r="A5" s="12">
        <v>1</v>
      </c>
      <c r="B5" s="13" t="s">
        <v>35</v>
      </c>
      <c r="C5" s="14" t="s">
        <v>36</v>
      </c>
      <c r="D5" s="15" t="s">
        <v>37</v>
      </c>
      <c r="E5" s="27" t="s">
        <v>38</v>
      </c>
      <c r="F5" s="27" t="s">
        <v>39</v>
      </c>
      <c r="G5" s="27" t="s">
        <v>40</v>
      </c>
      <c r="H5" s="27" t="s">
        <v>41</v>
      </c>
      <c r="I5" s="27" t="s">
        <v>42</v>
      </c>
      <c r="J5" s="27" t="s">
        <v>43</v>
      </c>
      <c r="K5" s="27" t="s">
        <v>44</v>
      </c>
      <c r="L5" s="27" t="s">
        <v>45</v>
      </c>
      <c r="M5" s="27" t="s">
        <v>46</v>
      </c>
      <c r="N5" s="27" t="s">
        <v>47</v>
      </c>
      <c r="O5" s="27" t="s">
        <v>48</v>
      </c>
      <c r="P5" s="27" t="s">
        <v>49</v>
      </c>
      <c r="Q5" s="27"/>
      <c r="R5" s="27"/>
      <c r="S5" s="27"/>
      <c r="T5" s="27"/>
      <c r="U5" s="27"/>
      <c r="V5" s="27" t="s">
        <v>50</v>
      </c>
      <c r="W5" s="27"/>
      <c r="X5" s="27"/>
      <c r="Y5" s="15"/>
      <c r="Z5" s="16"/>
      <c r="AB5" s="17"/>
      <c r="AC5" s="17"/>
      <c r="AD5" s="17"/>
      <c r="AE5" s="18"/>
      <c r="AF5" s="18"/>
      <c r="AG5" s="18"/>
      <c r="AH5" s="18"/>
      <c r="AI5" s="18"/>
    </row>
    <row r="6" spans="1:47" s="42" customFormat="1" ht="54.95" customHeight="1">
      <c r="A6" s="41" t="s">
        <v>51</v>
      </c>
      <c r="B6" s="13" t="s">
        <v>113</v>
      </c>
      <c r="C6" s="14" t="s">
        <v>36</v>
      </c>
      <c r="D6" s="15" t="s">
        <v>60</v>
      </c>
      <c r="E6" s="27" t="s">
        <v>52</v>
      </c>
      <c r="F6" s="27" t="s">
        <v>53</v>
      </c>
      <c r="G6" s="27" t="s">
        <v>60</v>
      </c>
      <c r="H6" s="27" t="s">
        <v>114</v>
      </c>
      <c r="I6" s="27" t="s">
        <v>179</v>
      </c>
      <c r="J6" s="27" t="s">
        <v>180</v>
      </c>
      <c r="K6" s="27" t="s">
        <v>181</v>
      </c>
      <c r="L6" s="27" t="s">
        <v>182</v>
      </c>
      <c r="M6" s="27"/>
      <c r="N6" s="27"/>
      <c r="O6" s="27"/>
      <c r="P6" s="27"/>
      <c r="Q6" s="27"/>
      <c r="R6" s="27"/>
      <c r="S6" s="27"/>
      <c r="T6" s="27"/>
      <c r="U6" s="27"/>
      <c r="V6" s="27" t="s">
        <v>183</v>
      </c>
      <c r="W6" s="27"/>
      <c r="X6" s="27"/>
      <c r="Y6" s="15"/>
      <c r="Z6" s="16"/>
      <c r="AB6" s="36"/>
      <c r="AC6" s="36"/>
      <c r="AD6" s="36"/>
      <c r="AE6" s="37"/>
      <c r="AF6" s="37"/>
      <c r="AG6" s="37"/>
      <c r="AH6" s="37"/>
      <c r="AI6" s="37"/>
    </row>
    <row r="7" spans="1:47" ht="54.95" customHeight="1">
      <c r="A7" s="12">
        <v>2</v>
      </c>
      <c r="B7" s="13" t="s">
        <v>55</v>
      </c>
      <c r="C7" s="14" t="s">
        <v>36</v>
      </c>
      <c r="D7" s="15" t="s">
        <v>37</v>
      </c>
      <c r="E7" s="27" t="s">
        <v>38</v>
      </c>
      <c r="F7" s="27" t="s">
        <v>56</v>
      </c>
      <c r="G7" s="27" t="s">
        <v>40</v>
      </c>
      <c r="H7" s="27" t="s">
        <v>41</v>
      </c>
      <c r="I7" s="27" t="s">
        <v>46</v>
      </c>
      <c r="J7" s="27" t="s">
        <v>57</v>
      </c>
      <c r="K7" s="27" t="s">
        <v>48</v>
      </c>
      <c r="L7" s="27" t="s">
        <v>58</v>
      </c>
      <c r="M7" s="27"/>
      <c r="N7" s="27"/>
      <c r="O7" s="27"/>
      <c r="P7" s="27"/>
      <c r="Q7" s="27"/>
      <c r="R7" s="27"/>
      <c r="S7" s="27"/>
      <c r="T7" s="27"/>
      <c r="U7" s="27"/>
      <c r="V7" s="27" t="s">
        <v>50</v>
      </c>
      <c r="W7" s="27"/>
      <c r="X7" s="27"/>
      <c r="Y7" s="15"/>
      <c r="Z7" s="16"/>
      <c r="AB7" s="17"/>
      <c r="AC7" s="17"/>
      <c r="AD7" s="17"/>
      <c r="AE7" s="18"/>
      <c r="AF7" s="18"/>
      <c r="AG7" s="18"/>
      <c r="AH7" s="18"/>
      <c r="AI7" s="18"/>
    </row>
    <row r="8" spans="1:47" s="42" customFormat="1" ht="54.95" customHeight="1">
      <c r="A8" s="41" t="s">
        <v>115</v>
      </c>
      <c r="B8" s="13" t="s">
        <v>59</v>
      </c>
      <c r="C8" s="14" t="s">
        <v>60</v>
      </c>
      <c r="D8" s="15" t="s">
        <v>60</v>
      </c>
      <c r="E8" s="27" t="s">
        <v>61</v>
      </c>
      <c r="F8" s="27" t="s">
        <v>62</v>
      </c>
      <c r="G8" s="27" t="s">
        <v>116</v>
      </c>
      <c r="H8" s="27" t="s">
        <v>117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 t="s">
        <v>184</v>
      </c>
      <c r="W8" s="27"/>
      <c r="X8" s="27"/>
      <c r="Y8" s="15"/>
      <c r="Z8" s="16"/>
      <c r="AB8" s="36"/>
      <c r="AC8" s="36"/>
      <c r="AD8" s="36"/>
      <c r="AE8" s="37"/>
      <c r="AF8" s="37"/>
      <c r="AG8" s="37"/>
      <c r="AH8" s="37"/>
      <c r="AI8" s="37"/>
    </row>
    <row r="9" spans="1:47" s="42" customFormat="1" ht="54.95" customHeight="1">
      <c r="A9" s="41" t="s">
        <v>118</v>
      </c>
      <c r="B9" s="60" t="s">
        <v>63</v>
      </c>
      <c r="C9" s="14" t="s">
        <v>64</v>
      </c>
      <c r="D9" s="15" t="s">
        <v>136</v>
      </c>
      <c r="E9" s="27" t="s">
        <v>252</v>
      </c>
      <c r="F9" s="27" t="s">
        <v>253</v>
      </c>
      <c r="G9" s="27" t="s">
        <v>254</v>
      </c>
      <c r="H9" s="27" t="s">
        <v>255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15"/>
      <c r="Z9" s="16"/>
      <c r="AB9" s="36"/>
      <c r="AC9" s="36"/>
      <c r="AD9" s="36"/>
      <c r="AE9" s="37"/>
      <c r="AF9" s="37"/>
      <c r="AG9" s="37"/>
      <c r="AH9" s="37"/>
      <c r="AI9" s="37"/>
    </row>
    <row r="10" spans="1:47" s="26" customFormat="1" ht="54.95" customHeight="1">
      <c r="A10" s="19" t="s">
        <v>120</v>
      </c>
      <c r="B10" s="25" t="s">
        <v>65</v>
      </c>
      <c r="C10" s="21" t="s">
        <v>64</v>
      </c>
      <c r="D10" s="22" t="s">
        <v>136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2"/>
      <c r="Z10" s="23"/>
      <c r="AA10" s="3"/>
      <c r="AB10" s="17"/>
      <c r="AC10" s="17"/>
      <c r="AD10" s="17"/>
      <c r="AE10" s="18"/>
      <c r="AF10" s="18"/>
      <c r="AG10" s="18"/>
      <c r="AH10" s="18"/>
      <c r="AI10" s="18"/>
    </row>
    <row r="11" spans="1:47" s="42" customFormat="1" ht="54.95" customHeight="1">
      <c r="A11" s="41" t="s">
        <v>121</v>
      </c>
      <c r="B11" s="60" t="s">
        <v>185</v>
      </c>
      <c r="C11" s="14" t="s">
        <v>64</v>
      </c>
      <c r="D11" s="15" t="s">
        <v>133</v>
      </c>
      <c r="E11" s="27" t="s">
        <v>234</v>
      </c>
      <c r="F11" s="27" t="s">
        <v>233</v>
      </c>
      <c r="G11" s="27" t="s">
        <v>232</v>
      </c>
      <c r="H11" s="27" t="s">
        <v>231</v>
      </c>
      <c r="I11" s="27" t="s">
        <v>230</v>
      </c>
      <c r="J11" s="27" t="s">
        <v>229</v>
      </c>
      <c r="K11" s="27" t="s">
        <v>256</v>
      </c>
      <c r="L11" s="27" t="s">
        <v>257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15"/>
      <c r="Z11" s="16"/>
      <c r="AB11" s="36"/>
      <c r="AC11" s="36"/>
      <c r="AD11" s="36"/>
      <c r="AE11" s="37"/>
      <c r="AF11" s="37"/>
      <c r="AG11" s="37"/>
      <c r="AH11" s="37"/>
      <c r="AI11" s="37"/>
    </row>
    <row r="12" spans="1:47" s="26" customFormat="1" ht="54.95" customHeight="1">
      <c r="A12" s="19" t="s">
        <v>123</v>
      </c>
      <c r="B12" s="25" t="s">
        <v>66</v>
      </c>
      <c r="C12" s="21" t="s">
        <v>64</v>
      </c>
      <c r="D12" s="22" t="s">
        <v>136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2"/>
      <c r="Z12" s="23"/>
      <c r="AA12" s="3"/>
      <c r="AB12" s="17"/>
      <c r="AC12" s="17"/>
      <c r="AD12" s="17"/>
      <c r="AE12" s="18"/>
      <c r="AF12" s="18"/>
      <c r="AG12" s="18"/>
      <c r="AH12" s="18"/>
      <c r="AI12" s="18"/>
    </row>
    <row r="13" spans="1:47" s="26" customFormat="1" ht="54.95" customHeight="1">
      <c r="A13" s="19" t="s">
        <v>124</v>
      </c>
      <c r="B13" s="25" t="s">
        <v>67</v>
      </c>
      <c r="C13" s="21" t="s">
        <v>64</v>
      </c>
      <c r="D13" s="22" t="s">
        <v>136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2"/>
      <c r="Z13" s="23"/>
      <c r="AA13" s="3"/>
      <c r="AB13" s="17"/>
      <c r="AC13" s="17"/>
      <c r="AD13" s="17"/>
      <c r="AE13" s="18"/>
      <c r="AF13" s="18"/>
      <c r="AG13" s="18"/>
      <c r="AH13" s="18"/>
      <c r="AI13" s="18"/>
    </row>
    <row r="14" spans="1:47" s="42" customFormat="1" ht="54.95" customHeight="1">
      <c r="A14" s="41" t="s">
        <v>125</v>
      </c>
      <c r="B14" s="13" t="s">
        <v>214</v>
      </c>
      <c r="C14" s="14" t="s">
        <v>64</v>
      </c>
      <c r="D14" s="15" t="s">
        <v>119</v>
      </c>
      <c r="E14" s="27" t="s">
        <v>126</v>
      </c>
      <c r="F14" s="27" t="s">
        <v>127</v>
      </c>
      <c r="G14" s="27" t="s">
        <v>128</v>
      </c>
      <c r="H14" s="27" t="s">
        <v>129</v>
      </c>
      <c r="I14" s="27" t="s">
        <v>130</v>
      </c>
      <c r="J14" s="27" t="s">
        <v>131</v>
      </c>
      <c r="K14" s="27" t="s">
        <v>186</v>
      </c>
      <c r="L14" s="27" t="s">
        <v>187</v>
      </c>
      <c r="M14" s="27" t="s">
        <v>188</v>
      </c>
      <c r="N14" s="43" t="s">
        <v>189</v>
      </c>
      <c r="O14" s="27" t="s">
        <v>181</v>
      </c>
      <c r="P14" s="44" t="s">
        <v>190</v>
      </c>
      <c r="Q14" s="27"/>
      <c r="R14" s="27"/>
      <c r="S14" s="27"/>
      <c r="T14" s="27"/>
      <c r="U14" s="27"/>
      <c r="V14" s="44" t="s">
        <v>215</v>
      </c>
      <c r="W14" s="27"/>
      <c r="X14" s="27"/>
      <c r="Y14" s="15"/>
      <c r="Z14" s="16"/>
      <c r="AB14" s="36"/>
      <c r="AC14" s="36"/>
      <c r="AD14" s="36"/>
      <c r="AE14" s="37"/>
      <c r="AF14" s="37"/>
      <c r="AG14" s="37"/>
      <c r="AH14" s="37"/>
      <c r="AI14" s="37"/>
    </row>
    <row r="15" spans="1:47" s="26" customFormat="1" ht="54.95" customHeight="1">
      <c r="A15" s="19" t="s">
        <v>132</v>
      </c>
      <c r="B15" s="20" t="s">
        <v>68</v>
      </c>
      <c r="C15" s="21" t="s">
        <v>64</v>
      </c>
      <c r="D15" s="22" t="s">
        <v>136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2"/>
      <c r="Z15" s="23"/>
      <c r="AA15" s="3"/>
      <c r="AB15" s="17"/>
      <c r="AC15" s="17"/>
      <c r="AD15" s="17"/>
      <c r="AE15" s="18"/>
      <c r="AF15" s="18"/>
      <c r="AG15" s="18"/>
      <c r="AH15" s="18"/>
      <c r="AI15" s="18"/>
    </row>
    <row r="16" spans="1:47" s="42" customFormat="1" ht="54.95" customHeight="1">
      <c r="A16" s="41" t="s">
        <v>134</v>
      </c>
      <c r="B16" s="13" t="s">
        <v>69</v>
      </c>
      <c r="C16" s="14" t="s">
        <v>64</v>
      </c>
      <c r="D16" s="15" t="s">
        <v>250</v>
      </c>
      <c r="E16" s="27" t="s">
        <v>258</v>
      </c>
      <c r="F16" s="27" t="s">
        <v>259</v>
      </c>
      <c r="G16" s="27" t="s">
        <v>260</v>
      </c>
      <c r="H16" s="27" t="s">
        <v>261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15"/>
      <c r="Z16" s="16"/>
      <c r="AB16" s="36"/>
      <c r="AC16" s="36"/>
      <c r="AD16" s="36"/>
      <c r="AE16" s="37"/>
      <c r="AF16" s="37"/>
      <c r="AG16" s="37"/>
      <c r="AH16" s="37"/>
      <c r="AI16" s="37"/>
    </row>
    <row r="17" spans="1:35" s="26" customFormat="1" ht="54.95" customHeight="1">
      <c r="A17" s="19" t="s">
        <v>135</v>
      </c>
      <c r="B17" s="20" t="s">
        <v>70</v>
      </c>
      <c r="C17" s="21" t="s">
        <v>64</v>
      </c>
      <c r="D17" s="22" t="s">
        <v>250</v>
      </c>
      <c r="E17" s="91"/>
      <c r="F17" s="91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2"/>
      <c r="Z17" s="23"/>
      <c r="AA17" s="3"/>
      <c r="AB17" s="17"/>
      <c r="AC17" s="17"/>
      <c r="AD17" s="17"/>
      <c r="AE17" s="18"/>
      <c r="AF17" s="18"/>
      <c r="AG17" s="18"/>
      <c r="AH17" s="18"/>
      <c r="AI17" s="18"/>
    </row>
    <row r="18" spans="1:35" ht="54.95" customHeight="1">
      <c r="A18" s="41" t="s">
        <v>137</v>
      </c>
      <c r="B18" s="13" t="s">
        <v>71</v>
      </c>
      <c r="C18" s="14" t="s">
        <v>36</v>
      </c>
      <c r="D18" s="15" t="s">
        <v>37</v>
      </c>
      <c r="E18" s="27" t="s">
        <v>38</v>
      </c>
      <c r="F18" s="27" t="s">
        <v>72</v>
      </c>
      <c r="G18" s="27" t="s">
        <v>40</v>
      </c>
      <c r="H18" s="27" t="s">
        <v>41</v>
      </c>
      <c r="I18" s="27" t="s">
        <v>42</v>
      </c>
      <c r="J18" s="27" t="s">
        <v>73</v>
      </c>
      <c r="K18" s="27" t="s">
        <v>74</v>
      </c>
      <c r="L18" s="27" t="s">
        <v>75</v>
      </c>
      <c r="M18" s="27" t="s">
        <v>46</v>
      </c>
      <c r="N18" s="27" t="s">
        <v>76</v>
      </c>
      <c r="O18" s="27" t="s">
        <v>48</v>
      </c>
      <c r="P18" s="27" t="s">
        <v>49</v>
      </c>
      <c r="Q18" s="27"/>
      <c r="R18" s="27"/>
      <c r="S18" s="27"/>
      <c r="T18" s="27"/>
      <c r="U18" s="27"/>
      <c r="V18" s="27" t="s">
        <v>77</v>
      </c>
      <c r="W18" s="27"/>
      <c r="X18" s="27"/>
      <c r="Y18" s="15"/>
      <c r="Z18" s="16"/>
      <c r="AB18" s="17"/>
      <c r="AC18" s="17"/>
      <c r="AD18" s="17"/>
      <c r="AE18" s="18"/>
      <c r="AF18" s="18"/>
      <c r="AG18" s="18"/>
      <c r="AH18" s="18"/>
      <c r="AI18" s="18"/>
    </row>
    <row r="19" spans="1:35" s="42" customFormat="1" ht="54.95" customHeight="1">
      <c r="A19" s="41" t="s">
        <v>138</v>
      </c>
      <c r="B19" s="13" t="s">
        <v>78</v>
      </c>
      <c r="C19" s="14" t="s">
        <v>36</v>
      </c>
      <c r="D19" s="15" t="s">
        <v>60</v>
      </c>
      <c r="E19" s="27" t="s">
        <v>61</v>
      </c>
      <c r="F19" s="27" t="s">
        <v>79</v>
      </c>
      <c r="G19" s="27" t="s">
        <v>60</v>
      </c>
      <c r="H19" s="27" t="s">
        <v>139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 t="s">
        <v>191</v>
      </c>
      <c r="W19" s="27"/>
      <c r="X19" s="27"/>
      <c r="Y19" s="15"/>
      <c r="Z19" s="16"/>
      <c r="AB19" s="36"/>
      <c r="AC19" s="36"/>
      <c r="AD19" s="36"/>
      <c r="AE19" s="37"/>
      <c r="AF19" s="37"/>
      <c r="AG19" s="37"/>
      <c r="AH19" s="37"/>
      <c r="AI19" s="37"/>
    </row>
    <row r="20" spans="1:35" s="42" customFormat="1" ht="54.95" customHeight="1">
      <c r="A20" s="12">
        <v>13</v>
      </c>
      <c r="B20" s="13" t="s">
        <v>80</v>
      </c>
      <c r="C20" s="14" t="s">
        <v>81</v>
      </c>
      <c r="D20" s="15" t="s">
        <v>82</v>
      </c>
      <c r="E20" s="27" t="s">
        <v>83</v>
      </c>
      <c r="F20" s="27" t="s">
        <v>84</v>
      </c>
      <c r="G20" s="27" t="s">
        <v>140</v>
      </c>
      <c r="H20" s="27" t="s">
        <v>141</v>
      </c>
      <c r="I20" s="27" t="s">
        <v>142</v>
      </c>
      <c r="J20" s="27" t="s">
        <v>143</v>
      </c>
      <c r="K20" s="27" t="s">
        <v>144</v>
      </c>
      <c r="L20" s="27" t="s">
        <v>145</v>
      </c>
      <c r="M20" s="27"/>
      <c r="N20" s="27"/>
      <c r="O20" s="27"/>
      <c r="P20" s="27"/>
      <c r="Q20" s="27"/>
      <c r="R20" s="27"/>
      <c r="S20" s="27"/>
      <c r="T20" s="27"/>
      <c r="U20" s="27"/>
      <c r="V20" s="27" t="s">
        <v>192</v>
      </c>
      <c r="W20" s="27"/>
      <c r="X20" s="27"/>
      <c r="Y20" s="15"/>
      <c r="Z20" s="16"/>
      <c r="AB20" s="36"/>
      <c r="AC20" s="36"/>
      <c r="AD20" s="36"/>
      <c r="AE20" s="37"/>
      <c r="AF20" s="37"/>
      <c r="AG20" s="37"/>
      <c r="AH20" s="37"/>
      <c r="AI20" s="37"/>
    </row>
    <row r="21" spans="1:35" s="42" customFormat="1" ht="54.95" customHeight="1">
      <c r="A21" s="12">
        <v>14</v>
      </c>
      <c r="B21" s="13" t="s">
        <v>85</v>
      </c>
      <c r="C21" s="14" t="s">
        <v>86</v>
      </c>
      <c r="D21" s="15" t="s">
        <v>87</v>
      </c>
      <c r="E21" s="45" t="s">
        <v>88</v>
      </c>
      <c r="F21" s="27" t="s">
        <v>89</v>
      </c>
      <c r="G21" s="46" t="s">
        <v>146</v>
      </c>
      <c r="H21" s="47" t="s">
        <v>147</v>
      </c>
      <c r="I21" s="45" t="s">
        <v>142</v>
      </c>
      <c r="J21" s="27" t="s">
        <v>148</v>
      </c>
      <c r="K21" s="27" t="s">
        <v>142</v>
      </c>
      <c r="L21" s="27" t="s">
        <v>193</v>
      </c>
      <c r="M21" s="27"/>
      <c r="N21" s="27"/>
      <c r="O21" s="27"/>
      <c r="P21" s="27"/>
      <c r="Q21" s="27"/>
      <c r="R21" s="27"/>
      <c r="S21" s="27"/>
      <c r="T21" s="27"/>
      <c r="U21" s="27"/>
      <c r="V21" s="27" t="s">
        <v>194</v>
      </c>
      <c r="W21" s="27"/>
      <c r="X21" s="27"/>
      <c r="Y21" s="15"/>
      <c r="Z21" s="16"/>
      <c r="AB21" s="36"/>
      <c r="AC21" s="36"/>
      <c r="AD21" s="36"/>
      <c r="AE21" s="37"/>
      <c r="AF21" s="37"/>
      <c r="AG21" s="37"/>
      <c r="AH21" s="37"/>
      <c r="AI21" s="37"/>
    </row>
    <row r="22" spans="1:35" s="42" customFormat="1" ht="54.95" customHeight="1">
      <c r="A22" s="12">
        <v>15</v>
      </c>
      <c r="B22" s="60" t="s">
        <v>90</v>
      </c>
      <c r="C22" s="14" t="s">
        <v>54</v>
      </c>
      <c r="D22" s="15" t="s">
        <v>122</v>
      </c>
      <c r="E22" s="27" t="s">
        <v>116</v>
      </c>
      <c r="F22" s="27" t="s">
        <v>149</v>
      </c>
      <c r="G22" s="27" t="s">
        <v>150</v>
      </c>
      <c r="H22" s="27" t="s">
        <v>151</v>
      </c>
      <c r="I22" s="27" t="s">
        <v>195</v>
      </c>
      <c r="J22" s="27" t="s">
        <v>196</v>
      </c>
      <c r="K22" s="27" t="s">
        <v>197</v>
      </c>
      <c r="L22" s="27" t="s">
        <v>198</v>
      </c>
      <c r="M22" s="27"/>
      <c r="N22" s="27"/>
      <c r="O22" s="27"/>
      <c r="P22" s="27"/>
      <c r="Q22" s="27"/>
      <c r="R22" s="27"/>
      <c r="S22" s="27"/>
      <c r="T22" s="27"/>
      <c r="U22" s="27"/>
      <c r="V22" s="27" t="s">
        <v>216</v>
      </c>
      <c r="W22" s="27"/>
      <c r="X22" s="27"/>
      <c r="Y22" s="15"/>
      <c r="Z22" s="16"/>
      <c r="AB22" s="36"/>
      <c r="AC22" s="36"/>
      <c r="AD22" s="36"/>
      <c r="AE22" s="37"/>
      <c r="AF22" s="37"/>
      <c r="AG22" s="37"/>
      <c r="AH22" s="37"/>
      <c r="AI22" s="37"/>
    </row>
    <row r="23" spans="1:35" s="42" customFormat="1" ht="54.95" customHeight="1">
      <c r="A23" s="12">
        <v>16</v>
      </c>
      <c r="B23" s="13" t="s">
        <v>91</v>
      </c>
      <c r="C23" s="14" t="s">
        <v>92</v>
      </c>
      <c r="D23" s="15" t="s">
        <v>93</v>
      </c>
      <c r="E23" s="27" t="s">
        <v>142</v>
      </c>
      <c r="F23" s="27" t="s">
        <v>152</v>
      </c>
      <c r="G23" s="27" t="s">
        <v>153</v>
      </c>
      <c r="H23" s="27" t="s">
        <v>154</v>
      </c>
      <c r="I23" s="27" t="s">
        <v>116</v>
      </c>
      <c r="J23" s="27" t="s">
        <v>155</v>
      </c>
      <c r="K23" s="27" t="s">
        <v>156</v>
      </c>
      <c r="L23" s="27" t="s">
        <v>157</v>
      </c>
      <c r="M23" s="27"/>
      <c r="N23" s="27"/>
      <c r="O23" s="27"/>
      <c r="P23" s="27"/>
      <c r="Q23" s="27"/>
      <c r="R23" s="27"/>
      <c r="S23" s="27"/>
      <c r="T23" s="27"/>
      <c r="U23" s="27"/>
      <c r="V23" s="27" t="s">
        <v>199</v>
      </c>
      <c r="W23" s="27"/>
      <c r="X23" s="27"/>
      <c r="Y23" s="15"/>
      <c r="Z23" s="16"/>
      <c r="AB23" s="36"/>
      <c r="AC23" s="36"/>
      <c r="AD23" s="36"/>
      <c r="AE23" s="37"/>
      <c r="AF23" s="37"/>
      <c r="AG23" s="37"/>
      <c r="AH23" s="37"/>
      <c r="AI23" s="37"/>
    </row>
    <row r="24" spans="1:35" ht="54.95" customHeight="1">
      <c r="A24" s="12">
        <v>17</v>
      </c>
      <c r="B24" s="13" t="s">
        <v>94</v>
      </c>
      <c r="C24" s="14" t="s">
        <v>36</v>
      </c>
      <c r="D24" s="15" t="s">
        <v>37</v>
      </c>
      <c r="E24" s="27" t="s">
        <v>38</v>
      </c>
      <c r="F24" s="27" t="s">
        <v>95</v>
      </c>
      <c r="G24" s="27" t="s">
        <v>40</v>
      </c>
      <c r="H24" s="27" t="s">
        <v>41</v>
      </c>
      <c r="I24" s="27" t="s">
        <v>46</v>
      </c>
      <c r="J24" s="27" t="s">
        <v>96</v>
      </c>
      <c r="K24" s="27" t="s">
        <v>48</v>
      </c>
      <c r="L24" s="27" t="s">
        <v>58</v>
      </c>
      <c r="M24" s="27"/>
      <c r="N24" s="27"/>
      <c r="O24" s="27"/>
      <c r="P24" s="27"/>
      <c r="Q24" s="27"/>
      <c r="R24" s="27"/>
      <c r="S24" s="27"/>
      <c r="T24" s="27"/>
      <c r="U24" s="27"/>
      <c r="V24" s="27" t="s">
        <v>97</v>
      </c>
      <c r="W24" s="27"/>
      <c r="X24" s="27"/>
      <c r="Y24" s="15"/>
      <c r="Z24" s="16"/>
      <c r="AB24" s="17"/>
      <c r="AC24" s="17"/>
      <c r="AD24" s="17"/>
      <c r="AE24" s="18"/>
      <c r="AF24" s="18"/>
      <c r="AG24" s="18"/>
      <c r="AH24" s="18"/>
      <c r="AI24" s="18"/>
    </row>
    <row r="25" spans="1:35" s="42" customFormat="1" ht="54.95" customHeight="1">
      <c r="A25" s="12">
        <v>18</v>
      </c>
      <c r="B25" s="13" t="s">
        <v>98</v>
      </c>
      <c r="C25" s="14" t="s">
        <v>36</v>
      </c>
      <c r="D25" s="15" t="s">
        <v>37</v>
      </c>
      <c r="E25" s="27" t="s">
        <v>38</v>
      </c>
      <c r="F25" s="27" t="s">
        <v>99</v>
      </c>
      <c r="G25" s="27" t="s">
        <v>40</v>
      </c>
      <c r="H25" s="27" t="s">
        <v>41</v>
      </c>
      <c r="I25" s="46" t="s">
        <v>144</v>
      </c>
      <c r="J25" s="47" t="s">
        <v>158</v>
      </c>
      <c r="K25" s="27" t="s">
        <v>159</v>
      </c>
      <c r="L25" s="27" t="s">
        <v>160</v>
      </c>
      <c r="M25" s="27"/>
      <c r="N25" s="27"/>
      <c r="O25" s="27"/>
      <c r="P25" s="27"/>
      <c r="Q25" s="27"/>
      <c r="R25" s="27"/>
      <c r="S25" s="27"/>
      <c r="T25" s="27"/>
      <c r="U25" s="27"/>
      <c r="V25" s="27" t="s">
        <v>200</v>
      </c>
      <c r="W25" s="27"/>
      <c r="X25" s="27"/>
      <c r="Y25" s="15"/>
      <c r="Z25" s="16"/>
      <c r="AB25" s="36"/>
      <c r="AC25" s="36"/>
      <c r="AD25" s="36"/>
      <c r="AE25" s="37"/>
      <c r="AF25" s="37"/>
      <c r="AG25" s="37"/>
      <c r="AH25" s="37"/>
      <c r="AI25" s="37"/>
    </row>
    <row r="26" spans="1:35" s="48" customFormat="1" ht="54.95" customHeight="1">
      <c r="A26" s="12">
        <v>19</v>
      </c>
      <c r="B26" s="13" t="s">
        <v>100</v>
      </c>
      <c r="C26" s="14" t="s">
        <v>92</v>
      </c>
      <c r="D26" s="15" t="s">
        <v>93</v>
      </c>
      <c r="E26" s="27" t="s">
        <v>144</v>
      </c>
      <c r="F26" s="27" t="s">
        <v>161</v>
      </c>
      <c r="G26" s="27" t="s">
        <v>150</v>
      </c>
      <c r="H26" s="27" t="s">
        <v>162</v>
      </c>
      <c r="I26" s="27" t="s">
        <v>130</v>
      </c>
      <c r="J26" s="27" t="s">
        <v>163</v>
      </c>
      <c r="K26" s="27" t="s">
        <v>156</v>
      </c>
      <c r="L26" s="27" t="s">
        <v>164</v>
      </c>
      <c r="M26" s="27" t="s">
        <v>165</v>
      </c>
      <c r="N26" s="27" t="s">
        <v>166</v>
      </c>
      <c r="O26" s="27" t="s">
        <v>201</v>
      </c>
      <c r="P26" s="27" t="s">
        <v>202</v>
      </c>
      <c r="Q26" s="27"/>
      <c r="R26" s="27"/>
      <c r="S26" s="27"/>
      <c r="T26" s="27"/>
      <c r="U26" s="27"/>
      <c r="V26" s="27" t="s">
        <v>217</v>
      </c>
      <c r="W26" s="27"/>
      <c r="X26" s="27"/>
      <c r="Y26" s="15"/>
      <c r="Z26" s="15"/>
      <c r="AB26" s="36"/>
      <c r="AC26" s="49"/>
      <c r="AD26" s="49"/>
      <c r="AE26" s="49"/>
      <c r="AF26" s="49"/>
      <c r="AG26" s="49"/>
      <c r="AH26" s="49"/>
      <c r="AI26" s="49"/>
    </row>
    <row r="27" spans="1:35" s="42" customFormat="1" ht="54.95" customHeight="1">
      <c r="A27" s="61">
        <v>20</v>
      </c>
      <c r="B27" s="62" t="s">
        <v>101</v>
      </c>
      <c r="C27" s="63" t="s">
        <v>54</v>
      </c>
      <c r="D27" s="64" t="s">
        <v>122</v>
      </c>
      <c r="E27" s="65" t="s">
        <v>165</v>
      </c>
      <c r="F27" s="65" t="s">
        <v>167</v>
      </c>
      <c r="G27" s="65" t="s">
        <v>201</v>
      </c>
      <c r="H27" s="65" t="s">
        <v>203</v>
      </c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 t="s">
        <v>218</v>
      </c>
      <c r="W27" s="65"/>
      <c r="X27" s="65"/>
      <c r="Y27" s="64"/>
      <c r="Z27" s="66"/>
      <c r="AB27" s="67"/>
      <c r="AC27" s="67"/>
      <c r="AD27" s="67"/>
      <c r="AE27" s="68"/>
      <c r="AF27" s="68"/>
      <c r="AG27" s="68"/>
      <c r="AH27" s="68"/>
      <c r="AI27" s="68"/>
    </row>
    <row r="28" spans="1:35" s="36" customFormat="1" ht="54.95" customHeight="1">
      <c r="A28" s="12">
        <v>21</v>
      </c>
      <c r="B28" s="29" t="s">
        <v>102</v>
      </c>
      <c r="C28" s="30" t="s">
        <v>54</v>
      </c>
      <c r="D28" s="15" t="s">
        <v>44</v>
      </c>
      <c r="E28" s="27" t="s">
        <v>52</v>
      </c>
      <c r="F28" s="27" t="s">
        <v>103</v>
      </c>
      <c r="G28" s="27" t="s">
        <v>74</v>
      </c>
      <c r="H28" s="27" t="s">
        <v>104</v>
      </c>
      <c r="I28" s="27" t="s">
        <v>105</v>
      </c>
      <c r="J28" s="27" t="s">
        <v>106</v>
      </c>
      <c r="K28" s="27" t="s">
        <v>88</v>
      </c>
      <c r="L28" s="27" t="s">
        <v>107</v>
      </c>
      <c r="M28" s="46"/>
      <c r="N28" s="46"/>
      <c r="O28" s="46"/>
      <c r="P28" s="46"/>
      <c r="Q28" s="46"/>
      <c r="R28" s="46"/>
      <c r="S28" s="46"/>
      <c r="T28" s="46"/>
      <c r="U28" s="27"/>
      <c r="V28" s="27" t="s">
        <v>108</v>
      </c>
      <c r="W28" s="27"/>
      <c r="X28" s="27"/>
      <c r="Y28" s="15"/>
      <c r="Z28" s="16"/>
      <c r="AE28" s="37"/>
      <c r="AF28" s="37"/>
      <c r="AG28" s="37"/>
      <c r="AH28" s="37"/>
      <c r="AI28" s="37"/>
    </row>
    <row r="29" spans="1:35" s="42" customFormat="1" ht="54.95" customHeight="1">
      <c r="A29" s="50" t="s">
        <v>168</v>
      </c>
      <c r="B29" s="51" t="s">
        <v>169</v>
      </c>
      <c r="C29" s="30" t="s">
        <v>54</v>
      </c>
      <c r="D29" s="52"/>
      <c r="E29" s="53" t="s">
        <v>61</v>
      </c>
      <c r="F29" s="53" t="s">
        <v>204</v>
      </c>
      <c r="G29" s="53" t="s">
        <v>60</v>
      </c>
      <c r="H29" s="53" t="s">
        <v>170</v>
      </c>
      <c r="I29" s="46" t="s">
        <v>179</v>
      </c>
      <c r="J29" s="47" t="s">
        <v>205</v>
      </c>
      <c r="K29" s="46" t="s">
        <v>181</v>
      </c>
      <c r="L29" s="47" t="s">
        <v>206</v>
      </c>
      <c r="M29" s="53"/>
      <c r="N29" s="53"/>
      <c r="O29" s="53"/>
      <c r="P29" s="53"/>
      <c r="Q29" s="53"/>
      <c r="R29" s="53"/>
      <c r="S29" s="53"/>
      <c r="T29" s="53"/>
      <c r="U29" s="53"/>
      <c r="V29" s="53" t="s">
        <v>219</v>
      </c>
      <c r="W29" s="53"/>
      <c r="X29" s="53"/>
      <c r="Y29" s="52"/>
      <c r="Z29" s="56"/>
      <c r="AB29" s="57"/>
      <c r="AC29" s="57"/>
      <c r="AE29" s="58"/>
      <c r="AF29" s="58"/>
      <c r="AG29" s="58"/>
      <c r="AH29" s="58"/>
      <c r="AI29" s="58"/>
    </row>
    <row r="30" spans="1:35" s="42" customFormat="1" ht="54.95" customHeight="1">
      <c r="A30" s="50" t="s">
        <v>171</v>
      </c>
      <c r="B30" s="51" t="s">
        <v>172</v>
      </c>
      <c r="C30" s="30" t="s">
        <v>54</v>
      </c>
      <c r="D30" s="52"/>
      <c r="E30" s="53" t="s">
        <v>153</v>
      </c>
      <c r="F30" s="53" t="s">
        <v>173</v>
      </c>
      <c r="G30" s="53" t="s">
        <v>116</v>
      </c>
      <c r="H30" s="53" t="s">
        <v>174</v>
      </c>
      <c r="I30" s="53" t="s">
        <v>207</v>
      </c>
      <c r="J30" s="54" t="s">
        <v>208</v>
      </c>
      <c r="K30" s="53" t="s">
        <v>209</v>
      </c>
      <c r="L30" s="55" t="s">
        <v>210</v>
      </c>
      <c r="M30" s="53" t="s">
        <v>228</v>
      </c>
      <c r="N30" s="53" t="s">
        <v>227</v>
      </c>
      <c r="O30" s="53" t="s">
        <v>262</v>
      </c>
      <c r="P30" s="55" t="s">
        <v>263</v>
      </c>
      <c r="Q30" s="53" t="s">
        <v>264</v>
      </c>
      <c r="R30" s="53" t="s">
        <v>265</v>
      </c>
      <c r="S30" s="53" t="s">
        <v>266</v>
      </c>
      <c r="T30" s="53" t="s">
        <v>267</v>
      </c>
      <c r="U30" s="53"/>
      <c r="V30" s="53" t="s">
        <v>220</v>
      </c>
      <c r="W30" s="53"/>
      <c r="X30" s="53"/>
      <c r="Y30" s="52"/>
      <c r="Z30" s="56"/>
      <c r="AB30" s="57"/>
      <c r="AC30" s="57"/>
      <c r="AE30" s="58"/>
      <c r="AF30" s="58"/>
      <c r="AG30" s="58"/>
      <c r="AH30" s="58"/>
      <c r="AI30" s="58"/>
    </row>
    <row r="31" spans="1:35" s="42" customFormat="1" ht="54.95" customHeight="1">
      <c r="A31" s="50" t="s">
        <v>175</v>
      </c>
      <c r="B31" s="51" t="s">
        <v>176</v>
      </c>
      <c r="C31" s="30" t="s">
        <v>54</v>
      </c>
      <c r="D31" s="52"/>
      <c r="E31" s="53" t="s">
        <v>130</v>
      </c>
      <c r="F31" s="53" t="s">
        <v>177</v>
      </c>
      <c r="G31" s="53" t="s">
        <v>165</v>
      </c>
      <c r="H31" s="53" t="s">
        <v>178</v>
      </c>
      <c r="I31" s="53" t="s">
        <v>207</v>
      </c>
      <c r="J31" s="54" t="s">
        <v>208</v>
      </c>
      <c r="K31" s="53" t="s">
        <v>209</v>
      </c>
      <c r="L31" s="55" t="s">
        <v>210</v>
      </c>
      <c r="M31" s="53"/>
      <c r="N31" s="53"/>
      <c r="O31" s="53"/>
      <c r="P31" s="53"/>
      <c r="Q31" s="53"/>
      <c r="R31" s="53"/>
      <c r="S31" s="53"/>
      <c r="T31" s="53"/>
      <c r="U31" s="53"/>
      <c r="V31" s="53" t="s">
        <v>220</v>
      </c>
      <c r="W31" s="53"/>
      <c r="X31" s="53"/>
      <c r="Y31" s="52"/>
      <c r="Z31" s="56"/>
      <c r="AB31" s="57"/>
      <c r="AC31" s="57"/>
      <c r="AE31" s="58"/>
      <c r="AF31" s="58"/>
      <c r="AG31" s="58"/>
      <c r="AH31" s="58"/>
      <c r="AI31" s="58"/>
    </row>
    <row r="32" spans="1:35" s="42" customFormat="1" ht="54.95" customHeight="1">
      <c r="A32" s="12">
        <v>22</v>
      </c>
      <c r="B32" s="13" t="s">
        <v>109</v>
      </c>
      <c r="C32" s="14" t="s">
        <v>54</v>
      </c>
      <c r="D32" s="15" t="s">
        <v>133</v>
      </c>
      <c r="E32" s="27" t="s">
        <v>211</v>
      </c>
      <c r="F32" s="54" t="s">
        <v>212</v>
      </c>
      <c r="G32" s="47" t="s">
        <v>221</v>
      </c>
      <c r="H32" s="55" t="s">
        <v>222</v>
      </c>
      <c r="I32" s="27" t="s">
        <v>223</v>
      </c>
      <c r="J32" s="54" t="s">
        <v>224</v>
      </c>
      <c r="K32" s="27" t="s">
        <v>225</v>
      </c>
      <c r="L32" s="55" t="s">
        <v>226</v>
      </c>
      <c r="M32" s="27" t="s">
        <v>262</v>
      </c>
      <c r="N32" s="54" t="s">
        <v>268</v>
      </c>
      <c r="O32" s="27" t="s">
        <v>269</v>
      </c>
      <c r="P32" s="27" t="s">
        <v>270</v>
      </c>
      <c r="Q32" s="27"/>
      <c r="R32" s="27"/>
      <c r="S32" s="27"/>
      <c r="T32" s="27"/>
      <c r="U32" s="27"/>
      <c r="V32" s="27" t="s">
        <v>271</v>
      </c>
      <c r="W32" s="27"/>
      <c r="X32" s="27"/>
      <c r="Y32" s="15"/>
      <c r="Z32" s="16"/>
      <c r="AB32" s="36"/>
      <c r="AC32" s="36"/>
      <c r="AD32" s="36"/>
      <c r="AE32" s="37"/>
      <c r="AF32" s="37"/>
      <c r="AG32" s="37"/>
      <c r="AH32" s="37"/>
      <c r="AI32" s="37"/>
    </row>
    <row r="33" spans="1:35" ht="54.95" customHeight="1">
      <c r="A33" s="24">
        <v>23</v>
      </c>
      <c r="B33" s="20" t="s">
        <v>110</v>
      </c>
      <c r="C33" s="21" t="s">
        <v>54</v>
      </c>
      <c r="D33" s="22" t="s">
        <v>133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2"/>
      <c r="Z33" s="23"/>
      <c r="AB33" s="17"/>
      <c r="AC33" s="17"/>
      <c r="AD33" s="17"/>
      <c r="AE33" s="18"/>
      <c r="AF33" s="18"/>
      <c r="AG33" s="18"/>
      <c r="AH33" s="18"/>
      <c r="AI33" s="18"/>
    </row>
    <row r="34" spans="1:35" ht="54.95" customHeight="1">
      <c r="A34" s="24">
        <v>24</v>
      </c>
      <c r="B34" s="25" t="s">
        <v>111</v>
      </c>
      <c r="C34" s="31" t="s">
        <v>54</v>
      </c>
      <c r="D34" s="22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2"/>
      <c r="Z34" s="23"/>
      <c r="AB34" s="17"/>
      <c r="AC34" s="17"/>
      <c r="AD34" s="17"/>
      <c r="AE34" s="18"/>
      <c r="AF34" s="18"/>
      <c r="AG34" s="18"/>
      <c r="AH34" s="18"/>
      <c r="AI34" s="18"/>
    </row>
    <row r="35" spans="1:35" s="42" customFormat="1" ht="54.95" customHeight="1">
      <c r="A35" s="12">
        <v>25</v>
      </c>
      <c r="B35" s="13" t="s">
        <v>112</v>
      </c>
      <c r="C35" s="92" t="s">
        <v>54</v>
      </c>
      <c r="D35" s="15" t="s">
        <v>133</v>
      </c>
      <c r="E35" s="27" t="s">
        <v>272</v>
      </c>
      <c r="F35" s="27" t="s">
        <v>273</v>
      </c>
      <c r="G35" s="27" t="s">
        <v>274</v>
      </c>
      <c r="H35" s="27" t="s">
        <v>275</v>
      </c>
      <c r="I35" s="27" t="s">
        <v>276</v>
      </c>
      <c r="J35" s="27" t="s">
        <v>277</v>
      </c>
      <c r="K35" s="27" t="s">
        <v>266</v>
      </c>
      <c r="L35" s="27" t="s">
        <v>278</v>
      </c>
      <c r="M35" s="27"/>
      <c r="N35" s="27"/>
      <c r="O35" s="27"/>
      <c r="P35" s="27"/>
      <c r="Q35" s="27"/>
      <c r="R35" s="27"/>
      <c r="S35" s="27"/>
      <c r="T35" s="27"/>
      <c r="U35" s="27"/>
      <c r="V35" s="27" t="s">
        <v>279</v>
      </c>
      <c r="W35" s="27"/>
      <c r="X35" s="27"/>
      <c r="Y35" s="15"/>
      <c r="Z35" s="16"/>
      <c r="AB35" s="36"/>
      <c r="AC35" s="36"/>
      <c r="AD35" s="36"/>
      <c r="AE35" s="37"/>
      <c r="AF35" s="37"/>
      <c r="AG35" s="37"/>
      <c r="AH35" s="37"/>
      <c r="AI35" s="37"/>
    </row>
    <row r="36" spans="1:35">
      <c r="A36" s="32"/>
      <c r="B36" s="3"/>
      <c r="C36" s="32"/>
      <c r="M36" s="2"/>
      <c r="O36" s="2"/>
      <c r="Z36" s="3"/>
      <c r="AA36" s="33"/>
      <c r="AB36" s="33"/>
      <c r="AC36" s="33"/>
      <c r="AD36" s="33"/>
      <c r="AE36" s="3"/>
      <c r="AF36" s="3"/>
      <c r="AG36" s="3"/>
      <c r="AH36" s="3"/>
      <c r="AI36" s="3"/>
    </row>
    <row r="37" spans="1:35">
      <c r="A37" s="32"/>
      <c r="B37" s="3"/>
      <c r="C37" s="32"/>
      <c r="M37" s="2"/>
      <c r="O37" s="2"/>
      <c r="Z37" s="3"/>
      <c r="AA37" s="33"/>
      <c r="AB37" s="33"/>
      <c r="AC37" s="33"/>
      <c r="AD37" s="33"/>
      <c r="AE37" s="3"/>
      <c r="AF37" s="3"/>
      <c r="AG37" s="3"/>
      <c r="AH37" s="3"/>
      <c r="AI37" s="3"/>
    </row>
    <row r="38" spans="1:35">
      <c r="A38" s="32"/>
      <c r="B38" s="3"/>
      <c r="C38" s="32"/>
      <c r="M38" s="2"/>
      <c r="O38" s="2"/>
      <c r="Z38" s="3"/>
      <c r="AA38" s="33"/>
      <c r="AB38" s="33"/>
      <c r="AC38" s="33"/>
      <c r="AD38" s="33"/>
      <c r="AE38" s="3"/>
      <c r="AF38" s="3"/>
      <c r="AG38" s="3"/>
      <c r="AH38" s="3"/>
      <c r="AI38" s="3"/>
    </row>
    <row r="39" spans="1:35">
      <c r="A39" s="32"/>
      <c r="B39" s="3"/>
      <c r="C39" s="32"/>
      <c r="M39" s="2"/>
      <c r="O39" s="2"/>
      <c r="Z39" s="3"/>
      <c r="AA39" s="33"/>
      <c r="AB39" s="33"/>
      <c r="AC39" s="33"/>
      <c r="AD39" s="33"/>
      <c r="AE39" s="3"/>
      <c r="AF39" s="3"/>
      <c r="AG39" s="3"/>
      <c r="AH39" s="3"/>
      <c r="AI39" s="3"/>
    </row>
    <row r="40" spans="1:35">
      <c r="A40" s="32"/>
      <c r="B40" s="3"/>
      <c r="C40" s="32"/>
      <c r="M40" s="2"/>
      <c r="O40" s="2"/>
      <c r="Z40" s="3"/>
      <c r="AA40" s="33"/>
      <c r="AB40" s="33"/>
      <c r="AC40" s="33"/>
      <c r="AD40" s="33"/>
      <c r="AE40" s="3"/>
      <c r="AF40" s="3"/>
      <c r="AG40" s="3"/>
      <c r="AH40" s="3"/>
      <c r="AI40" s="3"/>
    </row>
    <row r="41" spans="1:35">
      <c r="A41" s="32"/>
      <c r="B41" s="3"/>
      <c r="C41" s="32"/>
      <c r="M41" s="2"/>
      <c r="O41" s="2"/>
      <c r="Z41" s="3"/>
      <c r="AA41" s="33"/>
      <c r="AB41" s="33"/>
      <c r="AC41" s="33"/>
      <c r="AD41" s="33"/>
      <c r="AE41" s="3"/>
      <c r="AF41" s="3"/>
      <c r="AG41" s="3"/>
      <c r="AH41" s="3"/>
      <c r="AI41" s="3"/>
    </row>
    <row r="42" spans="1:35">
      <c r="A42" s="32"/>
      <c r="B42" s="3"/>
      <c r="C42" s="32"/>
      <c r="M42" s="2"/>
      <c r="O42" s="2"/>
      <c r="Z42" s="3"/>
      <c r="AA42" s="33"/>
      <c r="AB42" s="33"/>
      <c r="AC42" s="33"/>
      <c r="AD42" s="33"/>
      <c r="AE42" s="3"/>
      <c r="AF42" s="3"/>
      <c r="AG42" s="3"/>
      <c r="AH42" s="3"/>
      <c r="AI42" s="3"/>
    </row>
    <row r="43" spans="1:35">
      <c r="A43" s="32"/>
      <c r="B43" s="3"/>
      <c r="C43" s="32"/>
      <c r="M43" s="2"/>
      <c r="O43" s="2"/>
      <c r="Z43" s="3"/>
      <c r="AA43" s="33"/>
      <c r="AB43" s="33"/>
      <c r="AC43" s="33"/>
      <c r="AD43" s="33"/>
      <c r="AE43" s="3"/>
      <c r="AF43" s="3"/>
      <c r="AG43" s="3"/>
      <c r="AH43" s="3"/>
      <c r="AI43" s="3"/>
    </row>
    <row r="44" spans="1:35">
      <c r="A44" s="32"/>
      <c r="B44" s="3"/>
      <c r="C44" s="32"/>
      <c r="M44" s="2"/>
      <c r="O44" s="2"/>
      <c r="Z44" s="3"/>
      <c r="AA44" s="33"/>
      <c r="AB44" s="33"/>
      <c r="AC44" s="33"/>
      <c r="AD44" s="33"/>
      <c r="AE44" s="3"/>
      <c r="AF44" s="3"/>
      <c r="AG44" s="3"/>
      <c r="AH44" s="3"/>
      <c r="AI44" s="3"/>
    </row>
    <row r="45" spans="1:35">
      <c r="A45" s="32"/>
      <c r="B45" s="3"/>
      <c r="C45" s="32"/>
      <c r="M45" s="2"/>
      <c r="O45" s="2"/>
      <c r="Z45" s="3"/>
      <c r="AA45" s="33"/>
      <c r="AB45" s="33"/>
      <c r="AC45" s="33"/>
      <c r="AD45" s="33"/>
      <c r="AE45" s="3"/>
      <c r="AF45" s="3"/>
      <c r="AG45" s="3"/>
      <c r="AH45" s="3"/>
      <c r="AI45" s="3"/>
    </row>
    <row r="46" spans="1:35">
      <c r="A46" s="32"/>
      <c r="B46" s="3"/>
      <c r="C46" s="32"/>
      <c r="M46" s="2"/>
      <c r="O46" s="2"/>
      <c r="Z46" s="3"/>
      <c r="AA46" s="33"/>
      <c r="AB46" s="33"/>
      <c r="AC46" s="33"/>
      <c r="AD46" s="33"/>
      <c r="AE46" s="3"/>
      <c r="AF46" s="3"/>
      <c r="AG46" s="3"/>
      <c r="AH46" s="3"/>
      <c r="AI46" s="3"/>
    </row>
    <row r="47" spans="1:35">
      <c r="A47" s="32"/>
      <c r="B47" s="3"/>
      <c r="C47" s="32"/>
      <c r="M47" s="2"/>
      <c r="O47" s="2"/>
      <c r="Z47" s="3"/>
      <c r="AA47" s="33"/>
      <c r="AB47" s="33"/>
      <c r="AC47" s="33"/>
      <c r="AD47" s="33"/>
      <c r="AE47" s="3"/>
      <c r="AF47" s="3"/>
      <c r="AG47" s="3"/>
      <c r="AH47" s="3"/>
      <c r="AI47" s="3"/>
    </row>
    <row r="48" spans="1:35">
      <c r="A48" s="32"/>
      <c r="B48" s="3"/>
      <c r="C48" s="32"/>
      <c r="M48" s="2"/>
      <c r="O48" s="2"/>
      <c r="Z48" s="3"/>
      <c r="AA48" s="33"/>
      <c r="AB48" s="33"/>
      <c r="AC48" s="33"/>
      <c r="AD48" s="33"/>
      <c r="AE48" s="3"/>
      <c r="AF48" s="3"/>
      <c r="AG48" s="3"/>
      <c r="AH48" s="3"/>
      <c r="AI48" s="3"/>
    </row>
    <row r="49" spans="1:35">
      <c r="A49" s="32"/>
      <c r="B49" s="3"/>
      <c r="C49" s="32"/>
      <c r="M49" s="2"/>
      <c r="O49" s="2"/>
      <c r="Z49" s="3"/>
      <c r="AA49" s="33"/>
      <c r="AB49" s="33"/>
      <c r="AC49" s="33"/>
      <c r="AD49" s="33"/>
      <c r="AE49" s="3"/>
      <c r="AF49" s="3"/>
      <c r="AG49" s="3"/>
      <c r="AH49" s="3"/>
      <c r="AI49" s="3"/>
    </row>
    <row r="50" spans="1:35">
      <c r="A50" s="32"/>
      <c r="B50" s="3"/>
      <c r="C50" s="32"/>
      <c r="M50" s="2"/>
      <c r="O50" s="2"/>
      <c r="Z50" s="3"/>
      <c r="AA50" s="33"/>
      <c r="AB50" s="33"/>
      <c r="AC50" s="33"/>
      <c r="AD50" s="33"/>
      <c r="AE50" s="3"/>
      <c r="AF50" s="3"/>
      <c r="AG50" s="3"/>
      <c r="AH50" s="3"/>
      <c r="AI50" s="3"/>
    </row>
    <row r="51" spans="1:35">
      <c r="A51" s="32"/>
      <c r="B51" s="3"/>
      <c r="C51" s="32"/>
      <c r="M51" s="2"/>
      <c r="O51" s="2"/>
      <c r="Z51" s="3"/>
      <c r="AA51" s="33"/>
      <c r="AB51" s="33"/>
      <c r="AC51" s="33"/>
      <c r="AD51" s="33"/>
      <c r="AE51" s="3"/>
      <c r="AF51" s="3"/>
      <c r="AG51" s="3"/>
      <c r="AH51" s="3"/>
      <c r="AI51" s="3"/>
    </row>
    <row r="52" spans="1:35">
      <c r="A52" s="32"/>
      <c r="B52" s="3"/>
      <c r="C52" s="32"/>
      <c r="M52" s="2"/>
      <c r="O52" s="2"/>
      <c r="Z52" s="3"/>
      <c r="AA52" s="33"/>
      <c r="AB52" s="33"/>
      <c r="AC52" s="33"/>
      <c r="AD52" s="33"/>
      <c r="AE52" s="3"/>
      <c r="AF52" s="3"/>
      <c r="AG52" s="3"/>
      <c r="AH52" s="3"/>
      <c r="AI52" s="3"/>
    </row>
    <row r="53" spans="1:35">
      <c r="A53" s="32"/>
      <c r="B53" s="3"/>
      <c r="C53" s="32"/>
      <c r="M53" s="2"/>
      <c r="O53" s="2"/>
      <c r="Z53" s="3"/>
      <c r="AA53" s="33"/>
      <c r="AB53" s="33"/>
      <c r="AC53" s="33"/>
      <c r="AD53" s="33"/>
      <c r="AE53" s="3"/>
      <c r="AF53" s="3"/>
      <c r="AG53" s="3"/>
      <c r="AH53" s="3"/>
      <c r="AI53" s="3"/>
    </row>
    <row r="54" spans="1:35">
      <c r="A54" s="32"/>
      <c r="B54" s="3"/>
      <c r="C54" s="32"/>
      <c r="M54" s="2"/>
      <c r="O54" s="2"/>
      <c r="Z54" s="3"/>
      <c r="AA54" s="33"/>
      <c r="AB54" s="33"/>
      <c r="AC54" s="33"/>
      <c r="AD54" s="33"/>
      <c r="AE54" s="3"/>
      <c r="AF54" s="3"/>
      <c r="AG54" s="3"/>
      <c r="AH54" s="3"/>
      <c r="AI54" s="3"/>
    </row>
    <row r="55" spans="1:35">
      <c r="A55" s="32"/>
      <c r="B55" s="3"/>
      <c r="C55" s="32"/>
      <c r="M55" s="2"/>
      <c r="O55" s="2"/>
      <c r="Z55" s="3"/>
      <c r="AA55" s="33"/>
      <c r="AB55" s="33"/>
      <c r="AC55" s="33"/>
      <c r="AD55" s="33"/>
      <c r="AE55" s="3"/>
      <c r="AF55" s="3"/>
      <c r="AG55" s="3"/>
      <c r="AH55" s="3"/>
      <c r="AI55" s="3"/>
    </row>
    <row r="56" spans="1:35">
      <c r="A56" s="32"/>
      <c r="B56" s="3"/>
      <c r="C56" s="32"/>
      <c r="M56" s="2"/>
      <c r="O56" s="2"/>
      <c r="Z56" s="3"/>
      <c r="AA56" s="33"/>
      <c r="AB56" s="33"/>
      <c r="AC56" s="33"/>
      <c r="AD56" s="33"/>
      <c r="AE56" s="3"/>
      <c r="AF56" s="3"/>
      <c r="AG56" s="3"/>
      <c r="AH56" s="3"/>
      <c r="AI56" s="3"/>
    </row>
    <row r="57" spans="1:35">
      <c r="A57" s="32"/>
      <c r="B57" s="3"/>
      <c r="C57" s="32"/>
      <c r="M57" s="2"/>
      <c r="O57" s="2"/>
      <c r="Z57" s="3"/>
      <c r="AA57" s="33"/>
      <c r="AB57" s="33"/>
      <c r="AC57" s="33"/>
      <c r="AD57" s="33"/>
      <c r="AE57" s="3"/>
      <c r="AF57" s="3"/>
      <c r="AG57" s="3"/>
      <c r="AH57" s="3"/>
      <c r="AI57" s="3"/>
    </row>
    <row r="58" spans="1:35">
      <c r="A58" s="32"/>
      <c r="B58" s="3"/>
      <c r="C58" s="32"/>
      <c r="M58" s="2"/>
      <c r="O58" s="2"/>
      <c r="Z58" s="3"/>
      <c r="AA58" s="33"/>
      <c r="AB58" s="33"/>
      <c r="AC58" s="33"/>
      <c r="AD58" s="33"/>
      <c r="AE58" s="3"/>
      <c r="AF58" s="3"/>
      <c r="AG58" s="3"/>
      <c r="AH58" s="3"/>
      <c r="AI58" s="3"/>
    </row>
    <row r="59" spans="1:35">
      <c r="A59" s="32"/>
      <c r="B59" s="3"/>
      <c r="C59" s="32"/>
      <c r="M59" s="2"/>
      <c r="O59" s="2"/>
      <c r="Z59" s="3"/>
      <c r="AA59" s="33"/>
      <c r="AB59" s="33"/>
      <c r="AC59" s="33"/>
      <c r="AD59" s="33"/>
      <c r="AE59" s="3"/>
      <c r="AF59" s="3"/>
      <c r="AG59" s="3"/>
      <c r="AH59" s="3"/>
      <c r="AI59" s="3"/>
    </row>
    <row r="60" spans="1:35">
      <c r="A60" s="32"/>
      <c r="B60" s="3"/>
      <c r="C60" s="32"/>
      <c r="M60" s="2"/>
      <c r="O60" s="2"/>
      <c r="Z60" s="3"/>
      <c r="AA60" s="33"/>
      <c r="AB60" s="33"/>
      <c r="AC60" s="33"/>
      <c r="AD60" s="33"/>
      <c r="AE60" s="3"/>
      <c r="AF60" s="3"/>
      <c r="AG60" s="3"/>
      <c r="AH60" s="3"/>
      <c r="AI60" s="3"/>
    </row>
    <row r="61" spans="1:35">
      <c r="A61" s="32"/>
      <c r="B61" s="3"/>
      <c r="C61" s="32"/>
      <c r="M61" s="2"/>
      <c r="O61" s="2"/>
      <c r="Z61" s="3"/>
      <c r="AA61" s="33"/>
      <c r="AB61" s="33"/>
      <c r="AC61" s="33"/>
      <c r="AD61" s="33"/>
      <c r="AE61" s="3"/>
      <c r="AF61" s="3"/>
      <c r="AG61" s="3"/>
      <c r="AH61" s="3"/>
      <c r="AI61" s="3"/>
    </row>
    <row r="62" spans="1:35">
      <c r="A62" s="32"/>
      <c r="B62" s="3"/>
      <c r="C62" s="32"/>
      <c r="M62" s="2"/>
      <c r="O62" s="2"/>
      <c r="Z62" s="3"/>
      <c r="AA62" s="33"/>
      <c r="AB62" s="33"/>
      <c r="AC62" s="33"/>
      <c r="AD62" s="33"/>
      <c r="AE62" s="3"/>
      <c r="AF62" s="3"/>
      <c r="AG62" s="3"/>
      <c r="AH62" s="3"/>
      <c r="AI62" s="3"/>
    </row>
    <row r="63" spans="1:35">
      <c r="A63" s="32"/>
      <c r="B63" s="3"/>
      <c r="C63" s="32"/>
      <c r="M63" s="2"/>
      <c r="O63" s="2"/>
      <c r="Z63" s="3"/>
      <c r="AA63" s="33"/>
      <c r="AB63" s="33"/>
      <c r="AC63" s="33"/>
      <c r="AD63" s="33"/>
      <c r="AE63" s="3"/>
      <c r="AF63" s="3"/>
      <c r="AG63" s="3"/>
      <c r="AH63" s="3"/>
      <c r="AI63" s="3"/>
    </row>
    <row r="64" spans="1:35">
      <c r="A64" s="32"/>
      <c r="B64" s="3"/>
      <c r="C64" s="32"/>
      <c r="M64" s="2"/>
      <c r="O64" s="2"/>
      <c r="Z64" s="3"/>
      <c r="AA64" s="33"/>
      <c r="AB64" s="33"/>
      <c r="AC64" s="33"/>
      <c r="AD64" s="33"/>
      <c r="AE64" s="3"/>
      <c r="AF64" s="3"/>
      <c r="AG64" s="3"/>
      <c r="AH64" s="3"/>
      <c r="AI64" s="3"/>
    </row>
    <row r="65" spans="1:35">
      <c r="A65" s="32"/>
      <c r="B65" s="3"/>
      <c r="C65" s="32"/>
      <c r="M65" s="2"/>
      <c r="O65" s="2"/>
      <c r="Z65" s="3"/>
      <c r="AA65" s="33"/>
      <c r="AB65" s="33"/>
      <c r="AC65" s="33"/>
      <c r="AD65" s="33"/>
      <c r="AE65" s="3"/>
      <c r="AF65" s="3"/>
      <c r="AG65" s="3"/>
      <c r="AH65" s="3"/>
      <c r="AI65" s="3"/>
    </row>
    <row r="66" spans="1:35">
      <c r="A66" s="32"/>
      <c r="B66" s="3"/>
      <c r="C66" s="32"/>
      <c r="M66" s="2"/>
      <c r="O66" s="2"/>
      <c r="Z66" s="3"/>
      <c r="AA66" s="33"/>
      <c r="AB66" s="33"/>
      <c r="AC66" s="33"/>
      <c r="AD66" s="33"/>
      <c r="AE66" s="3"/>
      <c r="AF66" s="3"/>
      <c r="AG66" s="3"/>
      <c r="AH66" s="3"/>
      <c r="AI66" s="3"/>
    </row>
    <row r="67" spans="1:35">
      <c r="A67" s="32"/>
      <c r="B67" s="3"/>
      <c r="C67" s="32"/>
      <c r="M67" s="2"/>
      <c r="O67" s="2"/>
      <c r="Z67" s="3"/>
      <c r="AA67" s="33"/>
      <c r="AB67" s="33"/>
      <c r="AC67" s="33"/>
      <c r="AD67" s="33"/>
      <c r="AE67" s="3"/>
      <c r="AF67" s="3"/>
      <c r="AG67" s="3"/>
      <c r="AH67" s="3"/>
      <c r="AI67" s="3"/>
    </row>
    <row r="68" spans="1:35">
      <c r="A68" s="32"/>
      <c r="B68" s="3"/>
      <c r="C68" s="32"/>
      <c r="M68" s="2"/>
      <c r="O68" s="2"/>
      <c r="Z68" s="3"/>
      <c r="AA68" s="33"/>
      <c r="AB68" s="33"/>
      <c r="AC68" s="33"/>
      <c r="AD68" s="33"/>
      <c r="AE68" s="3"/>
      <c r="AF68" s="3"/>
      <c r="AG68" s="3"/>
      <c r="AH68" s="3"/>
      <c r="AI68" s="3"/>
    </row>
    <row r="69" spans="1:35">
      <c r="A69" s="32"/>
      <c r="B69" s="3"/>
      <c r="C69" s="32"/>
      <c r="M69" s="2"/>
      <c r="O69" s="2"/>
      <c r="Z69" s="3"/>
      <c r="AA69" s="33"/>
      <c r="AB69" s="33"/>
      <c r="AC69" s="33"/>
      <c r="AD69" s="33"/>
      <c r="AE69" s="3"/>
      <c r="AF69" s="3"/>
      <c r="AG69" s="3"/>
      <c r="AH69" s="3"/>
      <c r="AI69" s="3"/>
    </row>
    <row r="70" spans="1:35">
      <c r="A70" s="32"/>
      <c r="B70" s="3"/>
      <c r="C70" s="32"/>
      <c r="M70" s="2"/>
      <c r="O70" s="2"/>
      <c r="Z70" s="3"/>
      <c r="AA70" s="33"/>
      <c r="AB70" s="33"/>
      <c r="AC70" s="33"/>
      <c r="AD70" s="33"/>
      <c r="AE70" s="3"/>
      <c r="AF70" s="3"/>
      <c r="AG70" s="3"/>
      <c r="AH70" s="3"/>
      <c r="AI70" s="3"/>
    </row>
    <row r="71" spans="1:35">
      <c r="A71" s="32"/>
      <c r="B71" s="3"/>
      <c r="C71" s="32"/>
      <c r="M71" s="2"/>
      <c r="O71" s="2"/>
      <c r="Z71" s="3"/>
      <c r="AA71" s="33"/>
      <c r="AB71" s="33"/>
      <c r="AC71" s="33"/>
      <c r="AD71" s="33"/>
      <c r="AE71" s="3"/>
      <c r="AF71" s="3"/>
      <c r="AG71" s="3"/>
      <c r="AH71" s="3"/>
      <c r="AI71" s="3"/>
    </row>
    <row r="72" spans="1:35">
      <c r="A72" s="32"/>
      <c r="B72" s="3"/>
      <c r="C72" s="32"/>
      <c r="M72" s="2"/>
      <c r="O72" s="2"/>
      <c r="Z72" s="3"/>
      <c r="AA72" s="33"/>
      <c r="AB72" s="33"/>
      <c r="AC72" s="33"/>
      <c r="AD72" s="33"/>
      <c r="AE72" s="3"/>
      <c r="AF72" s="3"/>
      <c r="AG72" s="3"/>
      <c r="AH72" s="3"/>
      <c r="AI72" s="3"/>
    </row>
    <row r="73" spans="1:35">
      <c r="A73" s="32"/>
      <c r="B73" s="3"/>
      <c r="C73" s="32"/>
      <c r="M73" s="2"/>
      <c r="O73" s="2"/>
      <c r="Z73" s="3"/>
      <c r="AA73" s="33"/>
      <c r="AB73" s="33"/>
      <c r="AC73" s="33"/>
      <c r="AD73" s="33"/>
      <c r="AE73" s="3"/>
      <c r="AF73" s="3"/>
      <c r="AG73" s="3"/>
      <c r="AH73" s="3"/>
      <c r="AI73" s="3"/>
    </row>
    <row r="74" spans="1:35">
      <c r="A74" s="32"/>
      <c r="B74" s="3"/>
      <c r="C74" s="32"/>
      <c r="M74" s="2"/>
      <c r="O74" s="2"/>
      <c r="Z74" s="3"/>
      <c r="AA74" s="33"/>
      <c r="AB74" s="33"/>
      <c r="AC74" s="33"/>
      <c r="AD74" s="33"/>
      <c r="AE74" s="3"/>
      <c r="AF74" s="3"/>
      <c r="AG74" s="3"/>
      <c r="AH74" s="3"/>
      <c r="AI74" s="3"/>
    </row>
    <row r="75" spans="1:35">
      <c r="A75" s="32"/>
      <c r="B75" s="3"/>
      <c r="C75" s="32"/>
      <c r="M75" s="2"/>
      <c r="O75" s="2"/>
      <c r="Z75" s="3"/>
      <c r="AA75" s="33"/>
      <c r="AB75" s="33"/>
      <c r="AC75" s="33"/>
      <c r="AD75" s="33"/>
      <c r="AE75" s="3"/>
      <c r="AF75" s="3"/>
      <c r="AG75" s="3"/>
      <c r="AH75" s="3"/>
      <c r="AI75" s="3"/>
    </row>
    <row r="76" spans="1:35">
      <c r="A76" s="32"/>
      <c r="B76" s="3"/>
      <c r="C76" s="32"/>
      <c r="M76" s="2"/>
      <c r="O76" s="2"/>
      <c r="Z76" s="3"/>
      <c r="AA76" s="33"/>
      <c r="AB76" s="33"/>
      <c r="AC76" s="33"/>
      <c r="AD76" s="33"/>
      <c r="AE76" s="3"/>
      <c r="AF76" s="3"/>
      <c r="AG76" s="3"/>
      <c r="AH76" s="3"/>
      <c r="AI76" s="3"/>
    </row>
    <row r="77" spans="1:35">
      <c r="A77" s="32"/>
      <c r="B77" s="3"/>
      <c r="C77" s="32"/>
      <c r="M77" s="2"/>
      <c r="O77" s="2"/>
      <c r="Z77" s="3"/>
      <c r="AA77" s="33"/>
      <c r="AB77" s="33"/>
      <c r="AC77" s="33"/>
      <c r="AD77" s="33"/>
      <c r="AE77" s="3"/>
      <c r="AF77" s="3"/>
      <c r="AG77" s="3"/>
      <c r="AH77" s="3"/>
      <c r="AI77" s="3"/>
    </row>
    <row r="78" spans="1:35">
      <c r="A78" s="32"/>
      <c r="B78" s="3"/>
      <c r="C78" s="32"/>
      <c r="M78" s="2"/>
      <c r="O78" s="2"/>
      <c r="Z78" s="3"/>
      <c r="AA78" s="33"/>
      <c r="AB78" s="33"/>
      <c r="AC78" s="33"/>
      <c r="AD78" s="33"/>
      <c r="AE78" s="3"/>
      <c r="AF78" s="3"/>
      <c r="AG78" s="3"/>
      <c r="AH78" s="3"/>
      <c r="AI78" s="3"/>
    </row>
    <row r="79" spans="1:35">
      <c r="A79" s="32"/>
      <c r="B79" s="3"/>
      <c r="C79" s="32"/>
      <c r="M79" s="2"/>
      <c r="O79" s="2"/>
      <c r="Z79" s="3"/>
      <c r="AA79" s="33"/>
      <c r="AB79" s="33"/>
      <c r="AC79" s="33"/>
      <c r="AD79" s="33"/>
      <c r="AE79" s="3"/>
      <c r="AF79" s="3"/>
      <c r="AG79" s="3"/>
      <c r="AH79" s="3"/>
      <c r="AI79" s="3"/>
    </row>
    <row r="80" spans="1:35">
      <c r="A80" s="32"/>
      <c r="B80" s="3"/>
      <c r="C80" s="32"/>
      <c r="M80" s="2"/>
      <c r="O80" s="2"/>
      <c r="Z80" s="3"/>
      <c r="AA80" s="33"/>
      <c r="AB80" s="33"/>
      <c r="AC80" s="33"/>
      <c r="AD80" s="33"/>
      <c r="AE80" s="3"/>
      <c r="AF80" s="3"/>
      <c r="AG80" s="3"/>
      <c r="AH80" s="3"/>
      <c r="AI80" s="3"/>
    </row>
    <row r="81" spans="1:35">
      <c r="A81" s="32"/>
      <c r="B81" s="3"/>
      <c r="C81" s="32"/>
      <c r="M81" s="2"/>
      <c r="O81" s="2"/>
      <c r="Z81" s="3"/>
      <c r="AA81" s="33"/>
      <c r="AB81" s="33"/>
      <c r="AC81" s="33"/>
      <c r="AD81" s="33"/>
      <c r="AE81" s="3"/>
      <c r="AF81" s="3"/>
      <c r="AG81" s="3"/>
      <c r="AH81" s="3"/>
      <c r="AI81" s="3"/>
    </row>
    <row r="82" spans="1:35">
      <c r="A82" s="32"/>
      <c r="B82" s="3"/>
      <c r="C82" s="32"/>
      <c r="M82" s="2"/>
      <c r="O82" s="2"/>
      <c r="Z82" s="3"/>
      <c r="AA82" s="33"/>
      <c r="AB82" s="33"/>
      <c r="AC82" s="33"/>
      <c r="AD82" s="33"/>
      <c r="AE82" s="3"/>
      <c r="AF82" s="3"/>
      <c r="AG82" s="3"/>
      <c r="AH82" s="3"/>
      <c r="AI82" s="3"/>
    </row>
    <row r="83" spans="1:35">
      <c r="A83" s="32"/>
      <c r="B83" s="3"/>
      <c r="C83" s="32"/>
      <c r="M83" s="2"/>
      <c r="O83" s="2"/>
      <c r="Z83" s="3"/>
      <c r="AA83" s="33"/>
      <c r="AB83" s="33"/>
      <c r="AC83" s="33"/>
      <c r="AD83" s="33"/>
      <c r="AE83" s="3"/>
      <c r="AF83" s="3"/>
      <c r="AG83" s="3"/>
      <c r="AH83" s="3"/>
      <c r="AI83" s="3"/>
    </row>
    <row r="84" spans="1:35">
      <c r="A84" s="32"/>
      <c r="B84" s="3"/>
      <c r="C84" s="32"/>
      <c r="M84" s="2"/>
      <c r="O84" s="2"/>
      <c r="Z84" s="3"/>
      <c r="AA84" s="33"/>
      <c r="AB84" s="33"/>
      <c r="AC84" s="33"/>
      <c r="AD84" s="33"/>
      <c r="AE84" s="3"/>
      <c r="AF84" s="3"/>
      <c r="AG84" s="3"/>
      <c r="AH84" s="3"/>
      <c r="AI84" s="3"/>
    </row>
    <row r="85" spans="1:35">
      <c r="A85" s="32"/>
      <c r="B85" s="3"/>
      <c r="C85" s="32"/>
      <c r="M85" s="2"/>
      <c r="O85" s="2"/>
      <c r="Z85" s="3"/>
      <c r="AA85" s="33"/>
      <c r="AB85" s="33"/>
      <c r="AC85" s="33"/>
      <c r="AD85" s="33"/>
      <c r="AE85" s="3"/>
      <c r="AF85" s="3"/>
      <c r="AG85" s="3"/>
      <c r="AH85" s="3"/>
      <c r="AI85" s="3"/>
    </row>
    <row r="86" spans="1:35">
      <c r="A86" s="32"/>
      <c r="B86" s="3"/>
      <c r="C86" s="32"/>
      <c r="M86" s="2"/>
      <c r="O86" s="2"/>
      <c r="Z86" s="3"/>
      <c r="AA86" s="33"/>
      <c r="AB86" s="33"/>
      <c r="AC86" s="33"/>
      <c r="AD86" s="33"/>
      <c r="AE86" s="3"/>
      <c r="AF86" s="3"/>
      <c r="AG86" s="3"/>
      <c r="AH86" s="3"/>
      <c r="AI86" s="3"/>
    </row>
    <row r="87" spans="1:35">
      <c r="A87" s="32"/>
      <c r="B87" s="3"/>
      <c r="C87" s="32"/>
      <c r="M87" s="2"/>
      <c r="O87" s="2"/>
      <c r="Z87" s="3"/>
      <c r="AA87" s="33"/>
      <c r="AB87" s="33"/>
      <c r="AC87" s="33"/>
      <c r="AD87" s="33"/>
      <c r="AE87" s="3"/>
      <c r="AF87" s="3"/>
      <c r="AG87" s="3"/>
      <c r="AH87" s="3"/>
      <c r="AI87" s="3"/>
    </row>
    <row r="88" spans="1:35">
      <c r="A88" s="32"/>
      <c r="B88" s="3"/>
      <c r="C88" s="32"/>
      <c r="M88" s="2"/>
      <c r="O88" s="2"/>
      <c r="Z88" s="3"/>
      <c r="AA88" s="33"/>
      <c r="AB88" s="33"/>
      <c r="AC88" s="33"/>
      <c r="AD88" s="33"/>
      <c r="AE88" s="3"/>
      <c r="AF88" s="3"/>
      <c r="AG88" s="3"/>
      <c r="AH88" s="3"/>
      <c r="AI88" s="3"/>
    </row>
    <row r="89" spans="1:35">
      <c r="A89" s="32"/>
      <c r="B89" s="3"/>
      <c r="C89" s="32"/>
      <c r="M89" s="2"/>
      <c r="O89" s="2"/>
      <c r="Z89" s="3"/>
      <c r="AA89" s="33"/>
      <c r="AB89" s="33"/>
      <c r="AC89" s="33"/>
      <c r="AD89" s="33"/>
      <c r="AE89" s="3"/>
      <c r="AF89" s="3"/>
      <c r="AG89" s="3"/>
      <c r="AH89" s="3"/>
      <c r="AI89" s="3"/>
    </row>
    <row r="90" spans="1:35">
      <c r="A90" s="32"/>
      <c r="B90" s="3"/>
      <c r="C90" s="32"/>
      <c r="M90" s="2"/>
      <c r="O90" s="2"/>
      <c r="Z90" s="3"/>
      <c r="AA90" s="33"/>
      <c r="AB90" s="33"/>
      <c r="AC90" s="33"/>
      <c r="AD90" s="33"/>
      <c r="AE90" s="3"/>
      <c r="AF90" s="3"/>
      <c r="AG90" s="3"/>
      <c r="AH90" s="3"/>
      <c r="AI90" s="3"/>
    </row>
    <row r="91" spans="1:35">
      <c r="A91" s="32"/>
      <c r="B91" s="3"/>
      <c r="C91" s="32"/>
      <c r="M91" s="2"/>
      <c r="O91" s="2"/>
      <c r="Z91" s="3"/>
      <c r="AA91" s="33"/>
      <c r="AB91" s="33"/>
      <c r="AC91" s="33"/>
      <c r="AD91" s="33"/>
      <c r="AE91" s="3"/>
      <c r="AF91" s="3"/>
      <c r="AG91" s="3"/>
      <c r="AH91" s="3"/>
      <c r="AI91" s="3"/>
    </row>
    <row r="92" spans="1:35">
      <c r="A92" s="32"/>
      <c r="B92" s="3"/>
      <c r="C92" s="32"/>
      <c r="M92" s="2"/>
      <c r="O92" s="2"/>
      <c r="Z92" s="3"/>
      <c r="AA92" s="33"/>
      <c r="AB92" s="33"/>
      <c r="AC92" s="33"/>
      <c r="AD92" s="33"/>
      <c r="AE92" s="3"/>
      <c r="AF92" s="3"/>
      <c r="AG92" s="3"/>
      <c r="AH92" s="3"/>
      <c r="AI92" s="3"/>
    </row>
    <row r="93" spans="1:35">
      <c r="A93" s="32"/>
      <c r="B93" s="3"/>
      <c r="C93" s="32"/>
      <c r="M93" s="2"/>
      <c r="O93" s="2"/>
      <c r="Z93" s="3"/>
      <c r="AA93" s="33"/>
      <c r="AB93" s="33"/>
      <c r="AC93" s="33"/>
      <c r="AD93" s="33"/>
      <c r="AE93" s="3"/>
      <c r="AF93" s="3"/>
      <c r="AG93" s="3"/>
      <c r="AH93" s="3"/>
      <c r="AI93" s="3"/>
    </row>
    <row r="94" spans="1:35">
      <c r="A94" s="32"/>
      <c r="B94" s="3"/>
      <c r="C94" s="32"/>
      <c r="M94" s="2"/>
      <c r="O94" s="2"/>
      <c r="Z94" s="3"/>
      <c r="AA94" s="33"/>
      <c r="AB94" s="33"/>
      <c r="AC94" s="33"/>
      <c r="AD94" s="33"/>
      <c r="AE94" s="3"/>
      <c r="AF94" s="3"/>
      <c r="AG94" s="3"/>
      <c r="AH94" s="3"/>
      <c r="AI94" s="3"/>
    </row>
    <row r="95" spans="1:35">
      <c r="A95" s="32"/>
      <c r="B95" s="3"/>
      <c r="C95" s="32"/>
      <c r="M95" s="2"/>
      <c r="O95" s="2"/>
      <c r="Z95" s="3"/>
      <c r="AA95" s="33"/>
      <c r="AB95" s="33"/>
      <c r="AC95" s="33"/>
      <c r="AD95" s="33"/>
      <c r="AE95" s="3"/>
      <c r="AF95" s="3"/>
      <c r="AG95" s="3"/>
      <c r="AH95" s="3"/>
      <c r="AI95" s="3"/>
    </row>
    <row r="96" spans="1:35">
      <c r="A96" s="32"/>
      <c r="B96" s="3"/>
      <c r="C96" s="32"/>
      <c r="M96" s="2"/>
      <c r="O96" s="2"/>
      <c r="Z96" s="3"/>
      <c r="AA96" s="33"/>
      <c r="AB96" s="33"/>
      <c r="AC96" s="33"/>
      <c r="AD96" s="33"/>
      <c r="AE96" s="3"/>
      <c r="AF96" s="3"/>
      <c r="AG96" s="3"/>
      <c r="AH96" s="3"/>
      <c r="AI96" s="3"/>
    </row>
    <row r="97" spans="1:35">
      <c r="A97" s="32"/>
      <c r="B97" s="3"/>
      <c r="C97" s="32"/>
      <c r="M97" s="2"/>
      <c r="O97" s="2"/>
      <c r="Z97" s="3"/>
      <c r="AA97" s="33"/>
      <c r="AB97" s="33"/>
      <c r="AC97" s="33"/>
      <c r="AD97" s="33"/>
      <c r="AE97" s="3"/>
      <c r="AF97" s="3"/>
      <c r="AG97" s="3"/>
      <c r="AH97" s="3"/>
      <c r="AI97" s="3"/>
    </row>
    <row r="98" spans="1:35">
      <c r="A98" s="32"/>
      <c r="B98" s="3"/>
      <c r="C98" s="32"/>
      <c r="M98" s="2"/>
      <c r="O98" s="2"/>
      <c r="Z98" s="3"/>
      <c r="AA98" s="33"/>
      <c r="AB98" s="33"/>
      <c r="AC98" s="33"/>
      <c r="AD98" s="33"/>
      <c r="AE98" s="3"/>
      <c r="AF98" s="3"/>
      <c r="AG98" s="3"/>
      <c r="AH98" s="3"/>
      <c r="AI98" s="3"/>
    </row>
    <row r="99" spans="1:35">
      <c r="A99" s="32"/>
      <c r="B99" s="3"/>
      <c r="C99" s="32"/>
      <c r="M99" s="2"/>
      <c r="O99" s="2"/>
      <c r="Z99" s="3"/>
      <c r="AA99" s="33"/>
      <c r="AB99" s="33"/>
      <c r="AC99" s="33"/>
      <c r="AD99" s="33"/>
      <c r="AE99" s="3"/>
      <c r="AF99" s="3"/>
      <c r="AG99" s="3"/>
      <c r="AH99" s="3"/>
      <c r="AI99" s="3"/>
    </row>
    <row r="100" spans="1:35">
      <c r="A100" s="32"/>
      <c r="B100" s="3"/>
      <c r="C100" s="32"/>
      <c r="M100" s="2"/>
      <c r="O100" s="2"/>
      <c r="Z100" s="3"/>
      <c r="AA100" s="33"/>
      <c r="AB100" s="33"/>
      <c r="AC100" s="33"/>
      <c r="AD100" s="33"/>
      <c r="AE100" s="3"/>
      <c r="AF100" s="3"/>
      <c r="AG100" s="3"/>
      <c r="AH100" s="3"/>
      <c r="AI100" s="3"/>
    </row>
    <row r="101" spans="1:35">
      <c r="A101" s="32"/>
      <c r="B101" s="3"/>
      <c r="C101" s="32"/>
      <c r="M101" s="2"/>
      <c r="O101" s="2"/>
      <c r="Z101" s="3"/>
      <c r="AA101" s="33"/>
      <c r="AB101" s="33"/>
      <c r="AC101" s="33"/>
      <c r="AD101" s="33"/>
      <c r="AE101" s="3"/>
      <c r="AF101" s="3"/>
      <c r="AG101" s="3"/>
      <c r="AH101" s="3"/>
      <c r="AI101" s="3"/>
    </row>
    <row r="102" spans="1:35">
      <c r="A102" s="32"/>
      <c r="B102" s="3"/>
      <c r="C102" s="32"/>
      <c r="M102" s="2"/>
      <c r="O102" s="2"/>
      <c r="Z102" s="3"/>
      <c r="AA102" s="33"/>
      <c r="AB102" s="33"/>
      <c r="AC102" s="33"/>
      <c r="AD102" s="33"/>
      <c r="AE102" s="3"/>
      <c r="AF102" s="3"/>
      <c r="AG102" s="3"/>
      <c r="AH102" s="3"/>
      <c r="AI102" s="3"/>
    </row>
    <row r="103" spans="1:35">
      <c r="A103" s="32"/>
      <c r="B103" s="3"/>
      <c r="C103" s="32"/>
      <c r="M103" s="2"/>
      <c r="O103" s="2"/>
      <c r="Z103" s="3"/>
      <c r="AA103" s="33"/>
      <c r="AB103" s="33"/>
      <c r="AC103" s="33"/>
      <c r="AD103" s="33"/>
      <c r="AE103" s="3"/>
      <c r="AF103" s="3"/>
      <c r="AG103" s="3"/>
      <c r="AH103" s="3"/>
      <c r="AI103" s="3"/>
    </row>
    <row r="104" spans="1:35">
      <c r="A104" s="32"/>
      <c r="B104" s="3"/>
      <c r="C104" s="32"/>
      <c r="M104" s="2"/>
      <c r="O104" s="2"/>
      <c r="Z104" s="3"/>
      <c r="AA104" s="33"/>
      <c r="AB104" s="33"/>
      <c r="AC104" s="33"/>
      <c r="AD104" s="33"/>
      <c r="AE104" s="3"/>
      <c r="AF104" s="3"/>
      <c r="AG104" s="3"/>
      <c r="AH104" s="3"/>
      <c r="AI104" s="3"/>
    </row>
    <row r="105" spans="1:35">
      <c r="A105" s="32"/>
      <c r="B105" s="3"/>
      <c r="C105" s="32"/>
      <c r="M105" s="2"/>
      <c r="O105" s="2"/>
      <c r="Z105" s="3"/>
      <c r="AA105" s="33"/>
      <c r="AB105" s="33"/>
      <c r="AC105" s="33"/>
      <c r="AD105" s="33"/>
      <c r="AE105" s="3"/>
      <c r="AF105" s="3"/>
      <c r="AG105" s="3"/>
      <c r="AH105" s="3"/>
      <c r="AI105" s="3"/>
    </row>
    <row r="106" spans="1:35">
      <c r="A106" s="32"/>
      <c r="B106" s="3"/>
      <c r="C106" s="32"/>
      <c r="M106" s="2"/>
      <c r="O106" s="2"/>
      <c r="Z106" s="3"/>
      <c r="AA106" s="33"/>
      <c r="AB106" s="33"/>
      <c r="AC106" s="33"/>
      <c r="AD106" s="33"/>
      <c r="AE106" s="3"/>
      <c r="AF106" s="3"/>
      <c r="AG106" s="3"/>
      <c r="AH106" s="3"/>
      <c r="AI106" s="3"/>
    </row>
    <row r="107" spans="1:35">
      <c r="A107" s="32"/>
      <c r="B107" s="3"/>
      <c r="C107" s="32"/>
      <c r="M107" s="2"/>
      <c r="O107" s="2"/>
      <c r="Z107" s="3"/>
      <c r="AA107" s="33"/>
      <c r="AB107" s="33"/>
      <c r="AC107" s="33"/>
      <c r="AD107" s="33"/>
      <c r="AE107" s="3"/>
      <c r="AF107" s="3"/>
      <c r="AG107" s="3"/>
      <c r="AH107" s="3"/>
      <c r="AI107" s="3"/>
    </row>
    <row r="108" spans="1:35">
      <c r="A108" s="32"/>
      <c r="B108" s="3"/>
      <c r="C108" s="32"/>
      <c r="M108" s="2"/>
      <c r="O108" s="2"/>
      <c r="Z108" s="3"/>
      <c r="AA108" s="33"/>
      <c r="AB108" s="33"/>
      <c r="AC108" s="33"/>
      <c r="AD108" s="33"/>
      <c r="AE108" s="3"/>
      <c r="AF108" s="3"/>
      <c r="AG108" s="3"/>
      <c r="AH108" s="3"/>
      <c r="AI108" s="3"/>
    </row>
  </sheetData>
  <mergeCells count="18">
    <mergeCell ref="Y3:Y4"/>
    <mergeCell ref="Z3:Z4"/>
    <mergeCell ref="I3:L3"/>
    <mergeCell ref="A1:Z1"/>
    <mergeCell ref="AB1:AJ1"/>
    <mergeCell ref="A3:A4"/>
    <mergeCell ref="B3:B4"/>
    <mergeCell ref="C3:C4"/>
    <mergeCell ref="D3:D4"/>
    <mergeCell ref="E3:H3"/>
    <mergeCell ref="M3:P3"/>
    <mergeCell ref="Q3:T3"/>
    <mergeCell ref="U3:W3"/>
    <mergeCell ref="AN1:AU1"/>
    <mergeCell ref="A2:W2"/>
    <mergeCell ref="Y2:Z2"/>
    <mergeCell ref="AB2:AJ2"/>
    <mergeCell ref="AN2:AU2"/>
  </mergeCells>
  <phoneticPr fontId="1" type="noConversion"/>
  <printOptions horizontalCentered="1"/>
  <pageMargins left="0" right="0" top="0.19685039370078741" bottom="0.39370078740157483" header="0.31496062992125984" footer="0.11811023622047245"/>
  <pageSetup paperSize="8" scale="47" fitToHeight="0" orientation="landscape" r:id="rId1"/>
  <headerFooter>
    <oddFooter>&amp;C第&amp;P頁 共&amp;N頁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01"/>
  <sheetViews>
    <sheetView view="pageBreakPreview" zoomScale="60" zoomScaleNormal="60" workbookViewId="0">
      <pane xSplit="4" ySplit="4" topLeftCell="E5" activePane="bottomRight" state="frozen"/>
      <selection activeCell="C13" sqref="C13:F13"/>
      <selection pane="topRight" activeCell="C13" sqref="C13:F13"/>
      <selection pane="bottomLeft" activeCell="C13" sqref="C13:F13"/>
      <selection pane="bottomRight" activeCell="J11" sqref="J11"/>
    </sheetView>
  </sheetViews>
  <sheetFormatPr defaultColWidth="9" defaultRowHeight="19.5"/>
  <cols>
    <col min="1" max="1" width="11.25" style="2" customWidth="1"/>
    <col min="2" max="2" width="29" style="34" customWidth="1"/>
    <col min="3" max="3" width="17.125" style="34" customWidth="1"/>
    <col min="4" max="4" width="14.875" style="2" customWidth="1"/>
    <col min="5" max="5" width="12.625" style="38" customWidth="1"/>
    <col min="6" max="6" width="19.375" style="2" customWidth="1"/>
    <col min="7" max="7" width="13.625" style="38" customWidth="1"/>
    <col min="8" max="8" width="12.625" style="2" customWidth="1"/>
    <col min="9" max="9" width="13.5" style="2" customWidth="1"/>
    <col min="10" max="10" width="20.625" style="2" customWidth="1"/>
    <col min="11" max="11" width="15.75" style="59" customWidth="1"/>
    <col min="12" max="12" width="14.75" style="2" customWidth="1"/>
    <col min="13" max="13" width="12.625" style="38" customWidth="1"/>
    <col min="14" max="14" width="20.625" style="2" customWidth="1"/>
    <col min="15" max="15" width="12.625" style="38" customWidth="1"/>
    <col min="16" max="16" width="13.875" style="2" customWidth="1"/>
    <col min="17" max="17" width="12.625" style="2" hidden="1" customWidth="1"/>
    <col min="18" max="18" width="20.625" style="2" hidden="1" customWidth="1"/>
    <col min="19" max="19" width="12.625" style="2" hidden="1" customWidth="1"/>
    <col min="20" max="20" width="12.625" style="59" hidden="1" customWidth="1"/>
    <col min="21" max="22" width="20.625" style="2" customWidth="1"/>
    <col min="23" max="23" width="20.875" style="2" customWidth="1"/>
    <col min="24" max="24" width="20.875" style="3" customWidth="1"/>
    <col min="25" max="25" width="22.625" style="3" customWidth="1"/>
    <col min="26" max="26" width="12.75" style="2" customWidth="1"/>
    <col min="27" max="27" width="11.25" style="3" customWidth="1"/>
    <col min="28" max="28" width="11.625" style="3" customWidth="1"/>
    <col min="29" max="29" width="10" style="3" customWidth="1"/>
    <col min="30" max="30" width="10.75" style="3" customWidth="1"/>
    <col min="31" max="31" width="12.875" style="33" customWidth="1"/>
    <col min="32" max="32" width="11.375" style="33" customWidth="1"/>
    <col min="33" max="33" width="14.375" style="33" customWidth="1"/>
    <col min="34" max="35" width="14.125" style="33" customWidth="1"/>
    <col min="36" max="36" width="11.625" style="3" bestFit="1" customWidth="1"/>
    <col min="37" max="43" width="9" style="3"/>
    <col min="44" max="44" width="12.125" style="3" bestFit="1" customWidth="1"/>
    <col min="45" max="46" width="14.5" style="3" bestFit="1" customWidth="1"/>
    <col min="47" max="47" width="11.625" style="3" bestFit="1" customWidth="1"/>
    <col min="48" max="16384" width="9" style="3"/>
  </cols>
  <sheetData>
    <row r="1" spans="1:47" ht="38.25" customHeight="1">
      <c r="A1" s="165" t="s">
        <v>251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B1" s="171" t="s">
        <v>2</v>
      </c>
      <c r="AC1" s="171"/>
      <c r="AD1" s="171"/>
      <c r="AE1" s="171"/>
      <c r="AF1" s="171"/>
      <c r="AG1" s="171"/>
      <c r="AH1" s="171"/>
      <c r="AI1" s="171"/>
      <c r="AJ1" s="171"/>
      <c r="AN1" s="171" t="s">
        <v>2</v>
      </c>
      <c r="AO1" s="171"/>
      <c r="AP1" s="171"/>
      <c r="AQ1" s="171"/>
      <c r="AR1" s="171"/>
      <c r="AS1" s="171"/>
      <c r="AT1" s="171"/>
      <c r="AU1" s="171"/>
    </row>
    <row r="2" spans="1:47" ht="41.25" customHeight="1">
      <c r="A2" s="156" t="s">
        <v>249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72"/>
      <c r="X2" s="1"/>
      <c r="Y2" s="158" t="s">
        <v>248</v>
      </c>
      <c r="Z2" s="159"/>
      <c r="AB2" s="173" t="s">
        <v>4</v>
      </c>
      <c r="AC2" s="174"/>
      <c r="AD2" s="174"/>
      <c r="AE2" s="174"/>
      <c r="AF2" s="174"/>
      <c r="AG2" s="174"/>
      <c r="AH2" s="174"/>
      <c r="AI2" s="174"/>
      <c r="AJ2" s="175"/>
      <c r="AN2" s="173" t="s">
        <v>4</v>
      </c>
      <c r="AO2" s="174"/>
      <c r="AP2" s="174"/>
      <c r="AQ2" s="174"/>
      <c r="AR2" s="174"/>
      <c r="AS2" s="174"/>
      <c r="AT2" s="174"/>
      <c r="AU2" s="175"/>
    </row>
    <row r="3" spans="1:47" ht="39.75" customHeight="1">
      <c r="A3" s="168" t="s">
        <v>5</v>
      </c>
      <c r="B3" s="169" t="s">
        <v>6</v>
      </c>
      <c r="C3" s="169" t="s">
        <v>7</v>
      </c>
      <c r="D3" s="168" t="s">
        <v>8</v>
      </c>
      <c r="E3" s="162" t="s">
        <v>9</v>
      </c>
      <c r="F3" s="162"/>
      <c r="G3" s="162"/>
      <c r="H3" s="162"/>
      <c r="I3" s="162" t="s">
        <v>10</v>
      </c>
      <c r="J3" s="162"/>
      <c r="K3" s="162"/>
      <c r="L3" s="162"/>
      <c r="M3" s="177" t="s">
        <v>11</v>
      </c>
      <c r="N3" s="178"/>
      <c r="O3" s="178"/>
      <c r="P3" s="179"/>
      <c r="Q3" s="162" t="s">
        <v>12</v>
      </c>
      <c r="R3" s="162"/>
      <c r="S3" s="162"/>
      <c r="T3" s="162"/>
      <c r="U3" s="161" t="s">
        <v>13</v>
      </c>
      <c r="V3" s="161"/>
      <c r="W3" s="161"/>
      <c r="X3" s="4"/>
      <c r="Y3" s="161" t="s">
        <v>14</v>
      </c>
      <c r="Z3" s="176" t="s">
        <v>15</v>
      </c>
      <c r="AB3" s="5" t="s">
        <v>16</v>
      </c>
      <c r="AC3" s="5" t="s">
        <v>17</v>
      </c>
      <c r="AD3" s="5" t="s">
        <v>18</v>
      </c>
      <c r="AE3" s="6" t="s">
        <v>19</v>
      </c>
      <c r="AF3" s="7" t="s">
        <v>20</v>
      </c>
      <c r="AG3" s="7" t="s">
        <v>21</v>
      </c>
      <c r="AH3" s="7" t="s">
        <v>22</v>
      </c>
      <c r="AI3" s="7" t="s">
        <v>23</v>
      </c>
      <c r="AJ3" s="8" t="s">
        <v>24</v>
      </c>
      <c r="AN3" s="5" t="s">
        <v>16</v>
      </c>
      <c r="AO3" s="5" t="s">
        <v>17</v>
      </c>
      <c r="AP3" s="5" t="s">
        <v>18</v>
      </c>
      <c r="AQ3" s="9" t="s">
        <v>19</v>
      </c>
      <c r="AR3" s="7" t="s">
        <v>20</v>
      </c>
      <c r="AS3" s="7" t="s">
        <v>21</v>
      </c>
      <c r="AT3" s="7" t="s">
        <v>22</v>
      </c>
      <c r="AU3" s="8" t="s">
        <v>24</v>
      </c>
    </row>
    <row r="4" spans="1:47" ht="47.25" customHeight="1">
      <c r="A4" s="168"/>
      <c r="B4" s="169"/>
      <c r="C4" s="169"/>
      <c r="D4" s="168"/>
      <c r="E4" s="35" t="s">
        <v>26</v>
      </c>
      <c r="F4" s="35" t="s">
        <v>27</v>
      </c>
      <c r="G4" s="35" t="s">
        <v>29</v>
      </c>
      <c r="H4" s="35" t="s">
        <v>30</v>
      </c>
      <c r="I4" s="35" t="s">
        <v>26</v>
      </c>
      <c r="J4" s="35" t="s">
        <v>27</v>
      </c>
      <c r="K4" s="35" t="s">
        <v>29</v>
      </c>
      <c r="L4" s="35" t="s">
        <v>30</v>
      </c>
      <c r="M4" s="35" t="s">
        <v>25</v>
      </c>
      <c r="N4" s="35" t="s">
        <v>31</v>
      </c>
      <c r="O4" s="35" t="s">
        <v>28</v>
      </c>
      <c r="P4" s="35" t="s">
        <v>32</v>
      </c>
      <c r="Q4" s="35" t="s">
        <v>26</v>
      </c>
      <c r="R4" s="35" t="s">
        <v>27</v>
      </c>
      <c r="S4" s="35" t="s">
        <v>29</v>
      </c>
      <c r="T4" s="35" t="s">
        <v>30</v>
      </c>
      <c r="U4" s="39" t="s">
        <v>33</v>
      </c>
      <c r="V4" s="39" t="s">
        <v>34</v>
      </c>
      <c r="W4" s="40"/>
      <c r="X4" s="40"/>
      <c r="Y4" s="161"/>
      <c r="Z4" s="176"/>
      <c r="AB4" s="8">
        <f t="shared" ref="AB4:AI4" si="0">SUM(AB5:AB28)</f>
        <v>0</v>
      </c>
      <c r="AC4" s="8">
        <f t="shared" si="0"/>
        <v>0</v>
      </c>
      <c r="AD4" s="8">
        <f t="shared" si="0"/>
        <v>0</v>
      </c>
      <c r="AE4" s="10">
        <f t="shared" si="0"/>
        <v>0</v>
      </c>
      <c r="AF4" s="11">
        <f t="shared" si="0"/>
        <v>0</v>
      </c>
      <c r="AG4" s="11">
        <f t="shared" si="0"/>
        <v>0</v>
      </c>
      <c r="AH4" s="11">
        <f t="shared" si="0"/>
        <v>0</v>
      </c>
      <c r="AI4" s="11">
        <f t="shared" si="0"/>
        <v>0</v>
      </c>
      <c r="AJ4" s="8">
        <f>SUM(AF4:AI4)</f>
        <v>0</v>
      </c>
      <c r="AN4" s="8">
        <f t="shared" ref="AN4:AT4" si="1">AB4</f>
        <v>0</v>
      </c>
      <c r="AO4" s="8">
        <f t="shared" si="1"/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>AJ4</f>
        <v>0</v>
      </c>
    </row>
    <row r="5" spans="1:47" ht="54.95" customHeight="1">
      <c r="A5" s="12">
        <v>1</v>
      </c>
      <c r="B5" s="13" t="s">
        <v>247</v>
      </c>
      <c r="C5" s="14"/>
      <c r="D5" s="15" t="s">
        <v>37</v>
      </c>
      <c r="E5" s="27" t="s">
        <v>211</v>
      </c>
      <c r="F5" s="89" t="s">
        <v>246</v>
      </c>
      <c r="G5" s="27"/>
      <c r="H5" s="27"/>
      <c r="I5" s="27"/>
      <c r="J5" s="89"/>
      <c r="K5" s="27"/>
      <c r="L5" s="90"/>
      <c r="M5" s="27"/>
      <c r="N5" s="27"/>
      <c r="O5" s="27"/>
      <c r="P5" s="27"/>
      <c r="Q5" s="27"/>
      <c r="R5" s="27"/>
      <c r="S5" s="27"/>
      <c r="T5" s="27"/>
      <c r="U5" s="27" t="s">
        <v>245</v>
      </c>
      <c r="V5" s="27"/>
      <c r="W5" s="27"/>
      <c r="X5" s="27"/>
      <c r="Y5" s="15"/>
      <c r="Z5" s="16"/>
      <c r="AB5" s="17"/>
      <c r="AC5" s="17"/>
      <c r="AD5" s="17"/>
      <c r="AE5" s="18"/>
      <c r="AF5" s="18"/>
      <c r="AG5" s="18"/>
      <c r="AH5" s="18"/>
      <c r="AI5" s="18"/>
    </row>
    <row r="6" spans="1:47" s="42" customFormat="1" ht="54.95" customHeight="1">
      <c r="A6" s="41" t="s">
        <v>51</v>
      </c>
      <c r="B6" s="13" t="s">
        <v>244</v>
      </c>
      <c r="C6" s="14"/>
      <c r="D6" s="15" t="s">
        <v>60</v>
      </c>
      <c r="E6" s="27" t="s">
        <v>207</v>
      </c>
      <c r="F6" s="89" t="s">
        <v>243</v>
      </c>
      <c r="G6" s="27" t="s">
        <v>242</v>
      </c>
      <c r="H6" s="89" t="s">
        <v>241</v>
      </c>
      <c r="I6" s="27">
        <v>45103</v>
      </c>
      <c r="J6" s="89" t="s">
        <v>240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 t="s">
        <v>239</v>
      </c>
      <c r="V6" s="27"/>
      <c r="W6" s="27"/>
      <c r="X6" s="27"/>
      <c r="Y6" s="15"/>
      <c r="Z6" s="16"/>
      <c r="AB6" s="36"/>
      <c r="AC6" s="36"/>
      <c r="AD6" s="36"/>
      <c r="AE6" s="37"/>
      <c r="AF6" s="37"/>
      <c r="AG6" s="37"/>
      <c r="AH6" s="37"/>
      <c r="AI6" s="37"/>
    </row>
    <row r="7" spans="1:47" ht="54.95" customHeight="1">
      <c r="A7" s="12">
        <v>2</v>
      </c>
      <c r="B7" s="13" t="s">
        <v>238</v>
      </c>
      <c r="C7" s="14"/>
      <c r="D7" s="15" t="s">
        <v>37</v>
      </c>
      <c r="E7" s="27" t="s">
        <v>237</v>
      </c>
      <c r="F7" s="89" t="s">
        <v>236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 t="s">
        <v>235</v>
      </c>
      <c r="V7" s="27"/>
      <c r="W7" s="27"/>
      <c r="X7" s="27"/>
      <c r="Y7" s="15"/>
      <c r="Z7" s="16"/>
      <c r="AB7" s="17"/>
      <c r="AC7" s="17"/>
      <c r="AD7" s="17"/>
      <c r="AE7" s="18"/>
      <c r="AF7" s="18"/>
      <c r="AG7" s="18"/>
      <c r="AH7" s="18"/>
      <c r="AI7" s="18"/>
    </row>
    <row r="8" spans="1:47" s="42" customFormat="1" ht="54.95" customHeight="1">
      <c r="A8" s="86"/>
      <c r="B8" s="83"/>
      <c r="C8" s="82"/>
      <c r="D8" s="79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B8" s="36"/>
      <c r="AC8" s="36"/>
      <c r="AD8" s="36"/>
      <c r="AE8" s="37"/>
      <c r="AF8" s="37"/>
      <c r="AG8" s="37"/>
      <c r="AH8" s="37"/>
      <c r="AI8" s="37"/>
    </row>
    <row r="9" spans="1:47" s="26" customFormat="1" ht="54.95" customHeight="1">
      <c r="A9" s="86"/>
      <c r="B9" s="84"/>
      <c r="C9" s="82"/>
      <c r="D9" s="79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28"/>
      <c r="Y9" s="22"/>
      <c r="Z9" s="23"/>
      <c r="AA9" s="3"/>
      <c r="AB9" s="17"/>
      <c r="AC9" s="17"/>
      <c r="AD9" s="17"/>
      <c r="AE9" s="18"/>
      <c r="AF9" s="18"/>
      <c r="AG9" s="18"/>
      <c r="AH9" s="18"/>
      <c r="AI9" s="18"/>
    </row>
    <row r="10" spans="1:47" s="26" customFormat="1" ht="54.95" customHeight="1">
      <c r="A10" s="86"/>
      <c r="B10" s="84"/>
      <c r="C10" s="82"/>
      <c r="D10" s="79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28"/>
      <c r="Y10" s="22"/>
      <c r="Z10" s="23"/>
      <c r="AA10" s="3"/>
      <c r="AB10" s="17"/>
      <c r="AC10" s="17"/>
      <c r="AD10" s="17"/>
      <c r="AE10" s="18"/>
      <c r="AF10" s="18"/>
      <c r="AG10" s="18"/>
      <c r="AH10" s="18"/>
      <c r="AI10" s="18"/>
    </row>
    <row r="11" spans="1:47" s="26" customFormat="1" ht="54.95" customHeight="1">
      <c r="A11" s="86"/>
      <c r="B11" s="84"/>
      <c r="C11" s="82"/>
      <c r="D11" s="79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28"/>
      <c r="Y11" s="22"/>
      <c r="Z11" s="23"/>
      <c r="AA11" s="3"/>
      <c r="AB11" s="17"/>
      <c r="AC11" s="17"/>
      <c r="AD11" s="17"/>
      <c r="AE11" s="18"/>
      <c r="AF11" s="18"/>
      <c r="AG11" s="18"/>
      <c r="AH11" s="18"/>
      <c r="AI11" s="18"/>
    </row>
    <row r="12" spans="1:47" s="26" customFormat="1" ht="54.95" customHeight="1">
      <c r="A12" s="86"/>
      <c r="B12" s="84"/>
      <c r="C12" s="82"/>
      <c r="D12" s="79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28"/>
      <c r="Y12" s="22"/>
      <c r="Z12" s="23"/>
      <c r="AA12" s="3"/>
      <c r="AB12" s="17"/>
      <c r="AC12" s="17"/>
      <c r="AD12" s="17"/>
      <c r="AE12" s="18"/>
      <c r="AF12" s="18"/>
      <c r="AG12" s="18"/>
      <c r="AH12" s="18"/>
      <c r="AI12" s="18"/>
    </row>
    <row r="13" spans="1:47" s="26" customFormat="1" ht="54.95" customHeight="1">
      <c r="A13" s="86"/>
      <c r="B13" s="84"/>
      <c r="C13" s="82"/>
      <c r="D13" s="79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28"/>
      <c r="Y13" s="22"/>
      <c r="Z13" s="23"/>
      <c r="AA13" s="3"/>
      <c r="AB13" s="17"/>
      <c r="AC13" s="17"/>
      <c r="AD13" s="17"/>
      <c r="AE13" s="18"/>
      <c r="AF13" s="18"/>
      <c r="AG13" s="18"/>
      <c r="AH13" s="18"/>
      <c r="AI13" s="18"/>
    </row>
    <row r="14" spans="1:47" s="42" customFormat="1" ht="54.95" customHeight="1">
      <c r="A14" s="86"/>
      <c r="B14" s="83"/>
      <c r="C14" s="82"/>
      <c r="D14" s="79"/>
      <c r="E14" s="78"/>
      <c r="F14" s="78"/>
      <c r="G14" s="78"/>
      <c r="H14" s="78"/>
      <c r="I14" s="78"/>
      <c r="J14" s="78"/>
      <c r="K14" s="78"/>
      <c r="L14" s="78"/>
      <c r="M14" s="78"/>
      <c r="N14" s="88"/>
      <c r="O14" s="78"/>
      <c r="P14" s="87"/>
      <c r="Q14" s="78"/>
      <c r="R14" s="78"/>
      <c r="S14" s="78"/>
      <c r="T14" s="78"/>
      <c r="U14" s="78"/>
      <c r="V14" s="87"/>
      <c r="W14" s="78"/>
      <c r="X14" s="28"/>
      <c r="Y14" s="22"/>
      <c r="Z14" s="23"/>
      <c r="AB14" s="36"/>
      <c r="AC14" s="36"/>
      <c r="AD14" s="36"/>
      <c r="AE14" s="37"/>
      <c r="AF14" s="37"/>
      <c r="AG14" s="37"/>
      <c r="AH14" s="37"/>
      <c r="AI14" s="37"/>
    </row>
    <row r="15" spans="1:47" s="26" customFormat="1" ht="54.95" customHeight="1">
      <c r="A15" s="86"/>
      <c r="B15" s="83"/>
      <c r="C15" s="82"/>
      <c r="D15" s="79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28"/>
      <c r="Y15" s="22"/>
      <c r="Z15" s="23"/>
      <c r="AA15" s="3"/>
      <c r="AB15" s="17"/>
      <c r="AC15" s="17"/>
      <c r="AD15" s="17"/>
      <c r="AE15" s="18"/>
      <c r="AF15" s="18"/>
      <c r="AG15" s="18"/>
      <c r="AH15" s="18"/>
      <c r="AI15" s="18"/>
    </row>
    <row r="16" spans="1:47" s="26" customFormat="1" ht="54.95" customHeight="1">
      <c r="A16" s="86"/>
      <c r="B16" s="83"/>
      <c r="C16" s="82"/>
      <c r="D16" s="79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28"/>
      <c r="Y16" s="22"/>
      <c r="Z16" s="23"/>
      <c r="AA16" s="3"/>
      <c r="AB16" s="17"/>
      <c r="AC16" s="17"/>
      <c r="AD16" s="17"/>
      <c r="AE16" s="18"/>
      <c r="AF16" s="18"/>
      <c r="AG16" s="18"/>
      <c r="AH16" s="18"/>
      <c r="AI16" s="18"/>
    </row>
    <row r="17" spans="1:35" s="26" customFormat="1" ht="54.95" customHeight="1">
      <c r="A17" s="86"/>
      <c r="B17" s="83"/>
      <c r="C17" s="82"/>
      <c r="D17" s="79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28"/>
      <c r="Y17" s="22"/>
      <c r="Z17" s="23"/>
      <c r="AA17" s="3"/>
      <c r="AB17" s="17"/>
      <c r="AC17" s="17"/>
      <c r="AD17" s="17"/>
      <c r="AE17" s="18"/>
      <c r="AF17" s="18"/>
      <c r="AG17" s="18"/>
      <c r="AH17" s="18"/>
      <c r="AI17" s="18"/>
    </row>
    <row r="18" spans="1:35" ht="54.95" customHeight="1">
      <c r="A18" s="86"/>
      <c r="B18" s="83"/>
      <c r="C18" s="82"/>
      <c r="D18" s="79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28"/>
      <c r="Y18" s="22"/>
      <c r="Z18" s="23"/>
      <c r="AB18" s="17"/>
      <c r="AC18" s="17"/>
      <c r="AD18" s="17"/>
      <c r="AE18" s="18"/>
      <c r="AF18" s="18"/>
      <c r="AG18" s="18"/>
      <c r="AH18" s="18"/>
      <c r="AI18" s="18"/>
    </row>
    <row r="19" spans="1:35" s="42" customFormat="1" ht="54.95" customHeight="1">
      <c r="A19" s="86"/>
      <c r="B19" s="83"/>
      <c r="C19" s="82"/>
      <c r="D19" s="79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28"/>
      <c r="Y19" s="22"/>
      <c r="Z19" s="23"/>
      <c r="AB19" s="36"/>
      <c r="AC19" s="36"/>
      <c r="AD19" s="36"/>
      <c r="AE19" s="37"/>
      <c r="AF19" s="37"/>
      <c r="AG19" s="37"/>
      <c r="AH19" s="37"/>
      <c r="AI19" s="37"/>
    </row>
    <row r="20" spans="1:35" s="42" customFormat="1" ht="54.95" customHeight="1">
      <c r="A20" s="81"/>
      <c r="B20" s="83"/>
      <c r="C20" s="82"/>
      <c r="D20" s="79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28"/>
      <c r="Y20" s="22"/>
      <c r="Z20" s="23"/>
      <c r="AB20" s="36"/>
      <c r="AC20" s="36"/>
      <c r="AD20" s="36"/>
      <c r="AE20" s="37"/>
      <c r="AF20" s="37"/>
      <c r="AG20" s="37"/>
      <c r="AH20" s="37"/>
      <c r="AI20" s="37"/>
    </row>
    <row r="21" spans="1:35" s="42" customFormat="1" ht="54.95" customHeight="1">
      <c r="A21" s="81"/>
      <c r="B21" s="83"/>
      <c r="C21" s="82"/>
      <c r="D21" s="79"/>
      <c r="E21" s="85"/>
      <c r="F21" s="78"/>
      <c r="G21" s="77"/>
      <c r="H21" s="76"/>
      <c r="I21" s="85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28"/>
      <c r="Y21" s="22"/>
      <c r="Z21" s="23"/>
      <c r="AB21" s="36"/>
      <c r="AC21" s="36"/>
      <c r="AD21" s="36"/>
      <c r="AE21" s="37"/>
      <c r="AF21" s="37"/>
      <c r="AG21" s="37"/>
      <c r="AH21" s="37"/>
      <c r="AI21" s="37"/>
    </row>
    <row r="22" spans="1:35" s="42" customFormat="1" ht="54.95" customHeight="1">
      <c r="A22" s="81"/>
      <c r="B22" s="84"/>
      <c r="C22" s="82"/>
      <c r="D22" s="79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28"/>
      <c r="Y22" s="22"/>
      <c r="Z22" s="23"/>
      <c r="AB22" s="36"/>
      <c r="AC22" s="36"/>
      <c r="AD22" s="36"/>
      <c r="AE22" s="37"/>
      <c r="AF22" s="37"/>
      <c r="AG22" s="37"/>
      <c r="AH22" s="37"/>
      <c r="AI22" s="37"/>
    </row>
    <row r="23" spans="1:35" s="42" customFormat="1" ht="54.95" customHeight="1">
      <c r="A23" s="81"/>
      <c r="B23" s="83"/>
      <c r="C23" s="82"/>
      <c r="D23" s="79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28"/>
      <c r="Y23" s="22"/>
      <c r="Z23" s="23"/>
      <c r="AB23" s="36"/>
      <c r="AC23" s="36"/>
      <c r="AD23" s="36"/>
      <c r="AE23" s="37"/>
      <c r="AF23" s="37"/>
      <c r="AG23" s="37"/>
      <c r="AH23" s="37"/>
      <c r="AI23" s="37"/>
    </row>
    <row r="24" spans="1:35" ht="54.95" customHeight="1">
      <c r="A24" s="81"/>
      <c r="B24" s="83"/>
      <c r="C24" s="82"/>
      <c r="D24" s="79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28"/>
      <c r="Y24" s="22"/>
      <c r="Z24" s="23"/>
      <c r="AB24" s="17"/>
      <c r="AC24" s="17"/>
      <c r="AD24" s="17"/>
      <c r="AE24" s="18"/>
      <c r="AF24" s="18"/>
      <c r="AG24" s="18"/>
      <c r="AH24" s="18"/>
      <c r="AI24" s="18"/>
    </row>
    <row r="25" spans="1:35" s="42" customFormat="1" ht="54.95" customHeight="1">
      <c r="A25" s="81"/>
      <c r="B25" s="83"/>
      <c r="C25" s="82"/>
      <c r="D25" s="79"/>
      <c r="E25" s="78"/>
      <c r="F25" s="78"/>
      <c r="G25" s="78"/>
      <c r="H25" s="78"/>
      <c r="I25" s="77"/>
      <c r="J25" s="76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28"/>
      <c r="Y25" s="22"/>
      <c r="Z25" s="23"/>
      <c r="AB25" s="36"/>
      <c r="AC25" s="36"/>
      <c r="AD25" s="36"/>
      <c r="AE25" s="37"/>
      <c r="AF25" s="37"/>
      <c r="AG25" s="37"/>
      <c r="AH25" s="37"/>
      <c r="AI25" s="37"/>
    </row>
    <row r="26" spans="1:35" s="36" customFormat="1" ht="54.95" customHeight="1">
      <c r="A26" s="81"/>
      <c r="B26" s="80"/>
      <c r="C26" s="73"/>
      <c r="D26" s="79"/>
      <c r="E26" s="78"/>
      <c r="F26" s="78"/>
      <c r="G26" s="78"/>
      <c r="H26" s="78"/>
      <c r="I26" s="78"/>
      <c r="J26" s="78"/>
      <c r="K26" s="78"/>
      <c r="L26" s="78"/>
      <c r="M26" s="77"/>
      <c r="N26" s="77"/>
      <c r="O26" s="77"/>
      <c r="P26" s="77"/>
      <c r="Q26" s="77"/>
      <c r="R26" s="77"/>
      <c r="S26" s="77"/>
      <c r="T26" s="77"/>
      <c r="U26" s="78"/>
      <c r="V26" s="78"/>
      <c r="W26" s="78"/>
      <c r="X26" s="28"/>
      <c r="Y26" s="22"/>
      <c r="Z26" s="23"/>
      <c r="AE26" s="37"/>
      <c r="AF26" s="37"/>
      <c r="AG26" s="37"/>
      <c r="AH26" s="37"/>
      <c r="AI26" s="37"/>
    </row>
    <row r="27" spans="1:35" s="42" customFormat="1" ht="54.95" customHeight="1">
      <c r="A27" s="75"/>
      <c r="B27" s="74"/>
      <c r="C27" s="73"/>
      <c r="D27" s="72"/>
      <c r="E27" s="69"/>
      <c r="F27" s="69"/>
      <c r="G27" s="69"/>
      <c r="H27" s="69"/>
      <c r="I27" s="77"/>
      <c r="J27" s="76"/>
      <c r="K27" s="77"/>
      <c r="L27" s="76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28"/>
      <c r="Y27" s="22"/>
      <c r="Z27" s="23"/>
      <c r="AB27" s="57"/>
      <c r="AC27" s="57"/>
      <c r="AE27" s="58"/>
      <c r="AF27" s="58"/>
      <c r="AG27" s="58"/>
      <c r="AH27" s="58"/>
      <c r="AI27" s="58"/>
    </row>
    <row r="28" spans="1:35" s="42" customFormat="1" ht="54.95" customHeight="1">
      <c r="A28" s="75"/>
      <c r="B28" s="74"/>
      <c r="C28" s="73"/>
      <c r="D28" s="72"/>
      <c r="E28" s="69"/>
      <c r="F28" s="69"/>
      <c r="G28" s="69"/>
      <c r="H28" s="69"/>
      <c r="I28" s="69"/>
      <c r="J28" s="71"/>
      <c r="K28" s="69"/>
      <c r="L28" s="70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28"/>
      <c r="Y28" s="22"/>
      <c r="Z28" s="23"/>
      <c r="AB28" s="57"/>
      <c r="AC28" s="57"/>
      <c r="AE28" s="58"/>
      <c r="AF28" s="58"/>
      <c r="AG28" s="58"/>
      <c r="AH28" s="58"/>
      <c r="AI28" s="58"/>
    </row>
    <row r="29" spans="1:35">
      <c r="A29" s="32"/>
      <c r="B29" s="3"/>
      <c r="C29" s="32"/>
      <c r="M29" s="2"/>
      <c r="O29" s="2"/>
      <c r="Z29" s="3"/>
      <c r="AA29" s="33"/>
      <c r="AB29" s="33"/>
      <c r="AC29" s="33"/>
      <c r="AD29" s="33"/>
      <c r="AE29" s="3"/>
      <c r="AF29" s="3"/>
      <c r="AG29" s="3"/>
      <c r="AH29" s="3"/>
      <c r="AI29" s="3"/>
    </row>
    <row r="30" spans="1:35">
      <c r="A30" s="32"/>
      <c r="B30" s="3"/>
      <c r="C30" s="32"/>
      <c r="M30" s="2"/>
      <c r="O30" s="2"/>
      <c r="Z30" s="3"/>
      <c r="AA30" s="33"/>
      <c r="AB30" s="33"/>
      <c r="AC30" s="33"/>
      <c r="AD30" s="33"/>
      <c r="AE30" s="3"/>
      <c r="AF30" s="3"/>
      <c r="AG30" s="3"/>
      <c r="AH30" s="3"/>
      <c r="AI30" s="3"/>
    </row>
    <row r="31" spans="1:35">
      <c r="A31" s="32"/>
      <c r="B31" s="3"/>
      <c r="C31" s="32"/>
      <c r="M31" s="2"/>
      <c r="O31" s="2"/>
      <c r="Z31" s="3"/>
      <c r="AA31" s="33"/>
      <c r="AB31" s="33"/>
      <c r="AC31" s="33"/>
      <c r="AD31" s="33"/>
      <c r="AE31" s="3"/>
      <c r="AF31" s="3"/>
      <c r="AG31" s="3"/>
      <c r="AH31" s="3"/>
      <c r="AI31" s="3"/>
    </row>
    <row r="32" spans="1:35">
      <c r="A32" s="32"/>
      <c r="B32" s="3"/>
      <c r="C32" s="32"/>
      <c r="M32" s="2"/>
      <c r="O32" s="2"/>
      <c r="Z32" s="3"/>
      <c r="AA32" s="33"/>
      <c r="AB32" s="33"/>
      <c r="AC32" s="33"/>
      <c r="AD32" s="33"/>
      <c r="AE32" s="3"/>
      <c r="AF32" s="3"/>
      <c r="AG32" s="3"/>
      <c r="AH32" s="3"/>
      <c r="AI32" s="3"/>
    </row>
    <row r="33" spans="1:35">
      <c r="A33" s="32"/>
      <c r="B33" s="3"/>
      <c r="C33" s="32"/>
      <c r="M33" s="2"/>
      <c r="O33" s="2"/>
      <c r="Z33" s="3"/>
      <c r="AA33" s="33"/>
      <c r="AB33" s="33"/>
      <c r="AC33" s="33"/>
      <c r="AD33" s="33"/>
      <c r="AE33" s="3"/>
      <c r="AF33" s="3"/>
      <c r="AG33" s="3"/>
      <c r="AH33" s="3"/>
      <c r="AI33" s="3"/>
    </row>
    <row r="34" spans="1:35">
      <c r="A34" s="32"/>
      <c r="B34" s="3"/>
      <c r="C34" s="32"/>
      <c r="M34" s="2"/>
      <c r="O34" s="2"/>
      <c r="Z34" s="3"/>
      <c r="AA34" s="33"/>
      <c r="AB34" s="33"/>
      <c r="AC34" s="33"/>
      <c r="AD34" s="33"/>
      <c r="AE34" s="3"/>
      <c r="AF34" s="3"/>
      <c r="AG34" s="3"/>
      <c r="AH34" s="3"/>
      <c r="AI34" s="3"/>
    </row>
    <row r="35" spans="1:35">
      <c r="A35" s="32"/>
      <c r="B35" s="3"/>
      <c r="C35" s="32"/>
      <c r="M35" s="2"/>
      <c r="O35" s="2"/>
      <c r="Z35" s="3"/>
      <c r="AA35" s="33"/>
      <c r="AB35" s="33"/>
      <c r="AC35" s="33"/>
      <c r="AD35" s="33"/>
      <c r="AE35" s="3"/>
      <c r="AF35" s="3"/>
      <c r="AG35" s="3"/>
      <c r="AH35" s="3"/>
      <c r="AI35" s="3"/>
    </row>
    <row r="36" spans="1:35">
      <c r="A36" s="32"/>
      <c r="B36" s="3"/>
      <c r="C36" s="32"/>
      <c r="M36" s="2"/>
      <c r="O36" s="2"/>
      <c r="Z36" s="3"/>
      <c r="AA36" s="33"/>
      <c r="AB36" s="33"/>
      <c r="AC36" s="33"/>
      <c r="AD36" s="33"/>
      <c r="AE36" s="3"/>
      <c r="AF36" s="3"/>
      <c r="AG36" s="3"/>
      <c r="AH36" s="3"/>
      <c r="AI36" s="3"/>
    </row>
    <row r="37" spans="1:35">
      <c r="A37" s="32"/>
      <c r="B37" s="3"/>
      <c r="C37" s="32"/>
      <c r="M37" s="2"/>
      <c r="O37" s="2"/>
      <c r="Z37" s="3"/>
      <c r="AA37" s="33"/>
      <c r="AB37" s="33"/>
      <c r="AC37" s="33"/>
      <c r="AD37" s="33"/>
      <c r="AE37" s="3"/>
      <c r="AF37" s="3"/>
      <c r="AG37" s="3"/>
      <c r="AH37" s="3"/>
      <c r="AI37" s="3"/>
    </row>
    <row r="38" spans="1:35">
      <c r="A38" s="32"/>
      <c r="B38" s="3"/>
      <c r="C38" s="32"/>
      <c r="M38" s="2"/>
      <c r="O38" s="2"/>
      <c r="Z38" s="3"/>
      <c r="AA38" s="33"/>
      <c r="AB38" s="33"/>
      <c r="AC38" s="33"/>
      <c r="AD38" s="33"/>
      <c r="AE38" s="3"/>
      <c r="AF38" s="3"/>
      <c r="AG38" s="3"/>
      <c r="AH38" s="3"/>
      <c r="AI38" s="3"/>
    </row>
    <row r="39" spans="1:35">
      <c r="A39" s="32"/>
      <c r="B39" s="3"/>
      <c r="C39" s="32"/>
      <c r="M39" s="2"/>
      <c r="O39" s="2"/>
      <c r="Z39" s="3"/>
      <c r="AA39" s="33"/>
      <c r="AB39" s="33"/>
      <c r="AC39" s="33"/>
      <c r="AD39" s="33"/>
      <c r="AE39" s="3"/>
      <c r="AF39" s="3"/>
      <c r="AG39" s="3"/>
      <c r="AH39" s="3"/>
      <c r="AI39" s="3"/>
    </row>
    <row r="40" spans="1:35">
      <c r="A40" s="32"/>
      <c r="B40" s="3"/>
      <c r="C40" s="32"/>
      <c r="M40" s="2"/>
      <c r="O40" s="2"/>
      <c r="Z40" s="3"/>
      <c r="AA40" s="33"/>
      <c r="AB40" s="33"/>
      <c r="AC40" s="33"/>
      <c r="AD40" s="33"/>
      <c r="AE40" s="3"/>
      <c r="AF40" s="3"/>
      <c r="AG40" s="3"/>
      <c r="AH40" s="3"/>
      <c r="AI40" s="3"/>
    </row>
    <row r="41" spans="1:35">
      <c r="A41" s="32"/>
      <c r="B41" s="3"/>
      <c r="C41" s="32"/>
      <c r="M41" s="2"/>
      <c r="O41" s="2"/>
      <c r="Z41" s="3"/>
      <c r="AA41" s="33"/>
      <c r="AB41" s="33"/>
      <c r="AC41" s="33"/>
      <c r="AD41" s="33"/>
      <c r="AE41" s="3"/>
      <c r="AF41" s="3"/>
      <c r="AG41" s="3"/>
      <c r="AH41" s="3"/>
      <c r="AI41" s="3"/>
    </row>
    <row r="42" spans="1:35">
      <c r="A42" s="32"/>
      <c r="B42" s="3"/>
      <c r="C42" s="32"/>
      <c r="M42" s="2"/>
      <c r="O42" s="2"/>
      <c r="Z42" s="3"/>
      <c r="AA42" s="33"/>
      <c r="AB42" s="33"/>
      <c r="AC42" s="33"/>
      <c r="AD42" s="33"/>
      <c r="AE42" s="3"/>
      <c r="AF42" s="3"/>
      <c r="AG42" s="3"/>
      <c r="AH42" s="3"/>
      <c r="AI42" s="3"/>
    </row>
    <row r="43" spans="1:35">
      <c r="A43" s="32"/>
      <c r="B43" s="3"/>
      <c r="C43" s="32"/>
      <c r="M43" s="2"/>
      <c r="O43" s="2"/>
      <c r="Z43" s="3"/>
      <c r="AA43" s="33"/>
      <c r="AB43" s="33"/>
      <c r="AC43" s="33"/>
      <c r="AD43" s="33"/>
      <c r="AE43" s="3"/>
      <c r="AF43" s="3"/>
      <c r="AG43" s="3"/>
      <c r="AH43" s="3"/>
      <c r="AI43" s="3"/>
    </row>
    <row r="44" spans="1:35">
      <c r="A44" s="32"/>
      <c r="B44" s="3"/>
      <c r="C44" s="32"/>
      <c r="M44" s="2"/>
      <c r="O44" s="2"/>
      <c r="Z44" s="3"/>
      <c r="AA44" s="33"/>
      <c r="AB44" s="33"/>
      <c r="AC44" s="33"/>
      <c r="AD44" s="33"/>
      <c r="AE44" s="3"/>
      <c r="AF44" s="3"/>
      <c r="AG44" s="3"/>
      <c r="AH44" s="3"/>
      <c r="AI44" s="3"/>
    </row>
    <row r="45" spans="1:35">
      <c r="A45" s="32"/>
      <c r="B45" s="3"/>
      <c r="C45" s="32"/>
      <c r="M45" s="2"/>
      <c r="O45" s="2"/>
      <c r="Z45" s="3"/>
      <c r="AA45" s="33"/>
      <c r="AB45" s="33"/>
      <c r="AC45" s="33"/>
      <c r="AD45" s="33"/>
      <c r="AE45" s="3"/>
      <c r="AF45" s="3"/>
      <c r="AG45" s="3"/>
      <c r="AH45" s="3"/>
      <c r="AI45" s="3"/>
    </row>
    <row r="46" spans="1:35">
      <c r="A46" s="32"/>
      <c r="B46" s="3"/>
      <c r="C46" s="32"/>
      <c r="M46" s="2"/>
      <c r="O46" s="2"/>
      <c r="Z46" s="3"/>
      <c r="AA46" s="33"/>
      <c r="AB46" s="33"/>
      <c r="AC46" s="33"/>
      <c r="AD46" s="33"/>
      <c r="AE46" s="3"/>
      <c r="AF46" s="3"/>
      <c r="AG46" s="3"/>
      <c r="AH46" s="3"/>
      <c r="AI46" s="3"/>
    </row>
    <row r="47" spans="1:35">
      <c r="A47" s="32"/>
      <c r="B47" s="3"/>
      <c r="C47" s="32"/>
      <c r="M47" s="2"/>
      <c r="O47" s="2"/>
      <c r="Z47" s="3"/>
      <c r="AA47" s="33"/>
      <c r="AB47" s="33"/>
      <c r="AC47" s="33"/>
      <c r="AD47" s="33"/>
      <c r="AE47" s="3"/>
      <c r="AF47" s="3"/>
      <c r="AG47" s="3"/>
      <c r="AH47" s="3"/>
      <c r="AI47" s="3"/>
    </row>
    <row r="48" spans="1:35">
      <c r="A48" s="32"/>
      <c r="B48" s="3"/>
      <c r="C48" s="32"/>
      <c r="M48" s="2"/>
      <c r="O48" s="2"/>
      <c r="Z48" s="3"/>
      <c r="AA48" s="33"/>
      <c r="AB48" s="33"/>
      <c r="AC48" s="33"/>
      <c r="AD48" s="33"/>
      <c r="AE48" s="3"/>
      <c r="AF48" s="3"/>
      <c r="AG48" s="3"/>
      <c r="AH48" s="3"/>
      <c r="AI48" s="3"/>
    </row>
    <row r="49" spans="1:35">
      <c r="A49" s="32"/>
      <c r="B49" s="3"/>
      <c r="C49" s="32"/>
      <c r="M49" s="2"/>
      <c r="O49" s="2"/>
      <c r="Z49" s="3"/>
      <c r="AA49" s="33"/>
      <c r="AB49" s="33"/>
      <c r="AC49" s="33"/>
      <c r="AD49" s="33"/>
      <c r="AE49" s="3"/>
      <c r="AF49" s="3"/>
      <c r="AG49" s="3"/>
      <c r="AH49" s="3"/>
      <c r="AI49" s="3"/>
    </row>
    <row r="50" spans="1:35">
      <c r="A50" s="32"/>
      <c r="B50" s="3"/>
      <c r="C50" s="32"/>
      <c r="M50" s="2"/>
      <c r="O50" s="2"/>
      <c r="Z50" s="3"/>
      <c r="AA50" s="33"/>
      <c r="AB50" s="33"/>
      <c r="AC50" s="33"/>
      <c r="AD50" s="33"/>
      <c r="AE50" s="3"/>
      <c r="AF50" s="3"/>
      <c r="AG50" s="3"/>
      <c r="AH50" s="3"/>
      <c r="AI50" s="3"/>
    </row>
    <row r="51" spans="1:35">
      <c r="A51" s="32"/>
      <c r="B51" s="3"/>
      <c r="C51" s="32"/>
      <c r="M51" s="2"/>
      <c r="O51" s="2"/>
      <c r="Z51" s="3"/>
      <c r="AA51" s="33"/>
      <c r="AB51" s="33"/>
      <c r="AC51" s="33"/>
      <c r="AD51" s="33"/>
      <c r="AE51" s="3"/>
      <c r="AF51" s="3"/>
      <c r="AG51" s="3"/>
      <c r="AH51" s="3"/>
      <c r="AI51" s="3"/>
    </row>
    <row r="52" spans="1:35">
      <c r="A52" s="32"/>
      <c r="B52" s="3"/>
      <c r="C52" s="32"/>
      <c r="M52" s="2"/>
      <c r="O52" s="2"/>
      <c r="Z52" s="3"/>
      <c r="AA52" s="33"/>
      <c r="AB52" s="33"/>
      <c r="AC52" s="33"/>
      <c r="AD52" s="33"/>
      <c r="AE52" s="3"/>
      <c r="AF52" s="3"/>
      <c r="AG52" s="3"/>
      <c r="AH52" s="3"/>
      <c r="AI52" s="3"/>
    </row>
    <row r="53" spans="1:35">
      <c r="A53" s="32"/>
      <c r="B53" s="3"/>
      <c r="C53" s="32"/>
      <c r="M53" s="2"/>
      <c r="O53" s="2"/>
      <c r="Z53" s="3"/>
      <c r="AA53" s="33"/>
      <c r="AB53" s="33"/>
      <c r="AC53" s="33"/>
      <c r="AD53" s="33"/>
      <c r="AE53" s="3"/>
      <c r="AF53" s="3"/>
      <c r="AG53" s="3"/>
      <c r="AH53" s="3"/>
      <c r="AI53" s="3"/>
    </row>
    <row r="54" spans="1:35">
      <c r="A54" s="32"/>
      <c r="B54" s="3"/>
      <c r="C54" s="32"/>
      <c r="M54" s="2"/>
      <c r="O54" s="2"/>
      <c r="Z54" s="3"/>
      <c r="AA54" s="33"/>
      <c r="AB54" s="33"/>
      <c r="AC54" s="33"/>
      <c r="AD54" s="33"/>
      <c r="AE54" s="3"/>
      <c r="AF54" s="3"/>
      <c r="AG54" s="3"/>
      <c r="AH54" s="3"/>
      <c r="AI54" s="3"/>
    </row>
    <row r="55" spans="1:35">
      <c r="A55" s="32"/>
      <c r="B55" s="3"/>
      <c r="C55" s="32"/>
      <c r="M55" s="2"/>
      <c r="O55" s="2"/>
      <c r="Z55" s="3"/>
      <c r="AA55" s="33"/>
      <c r="AB55" s="33"/>
      <c r="AC55" s="33"/>
      <c r="AD55" s="33"/>
      <c r="AE55" s="3"/>
      <c r="AF55" s="3"/>
      <c r="AG55" s="3"/>
      <c r="AH55" s="3"/>
      <c r="AI55" s="3"/>
    </row>
    <row r="56" spans="1:35">
      <c r="A56" s="32"/>
      <c r="B56" s="3"/>
      <c r="C56" s="32"/>
      <c r="M56" s="2"/>
      <c r="O56" s="2"/>
      <c r="Z56" s="3"/>
      <c r="AA56" s="33"/>
      <c r="AB56" s="33"/>
      <c r="AC56" s="33"/>
      <c r="AD56" s="33"/>
      <c r="AE56" s="3"/>
      <c r="AF56" s="3"/>
      <c r="AG56" s="3"/>
      <c r="AH56" s="3"/>
      <c r="AI56" s="3"/>
    </row>
    <row r="57" spans="1:35">
      <c r="A57" s="32"/>
      <c r="B57" s="3"/>
      <c r="C57" s="32"/>
      <c r="M57" s="2"/>
      <c r="O57" s="2"/>
      <c r="Z57" s="3"/>
      <c r="AA57" s="33"/>
      <c r="AB57" s="33"/>
      <c r="AC57" s="33"/>
      <c r="AD57" s="33"/>
      <c r="AE57" s="3"/>
      <c r="AF57" s="3"/>
      <c r="AG57" s="3"/>
      <c r="AH57" s="3"/>
      <c r="AI57" s="3"/>
    </row>
    <row r="58" spans="1:35">
      <c r="A58" s="32"/>
      <c r="B58" s="3"/>
      <c r="C58" s="32"/>
      <c r="M58" s="2"/>
      <c r="O58" s="2"/>
      <c r="Z58" s="3"/>
      <c r="AA58" s="33"/>
      <c r="AB58" s="33"/>
      <c r="AC58" s="33"/>
      <c r="AD58" s="33"/>
      <c r="AE58" s="3"/>
      <c r="AF58" s="3"/>
      <c r="AG58" s="3"/>
      <c r="AH58" s="3"/>
      <c r="AI58" s="3"/>
    </row>
    <row r="59" spans="1:35">
      <c r="A59" s="32"/>
      <c r="B59" s="3"/>
      <c r="C59" s="32"/>
      <c r="M59" s="2"/>
      <c r="O59" s="2"/>
      <c r="Z59" s="3"/>
      <c r="AA59" s="33"/>
      <c r="AB59" s="33"/>
      <c r="AC59" s="33"/>
      <c r="AD59" s="33"/>
      <c r="AE59" s="3"/>
      <c r="AF59" s="3"/>
      <c r="AG59" s="3"/>
      <c r="AH59" s="3"/>
      <c r="AI59" s="3"/>
    </row>
    <row r="60" spans="1:35">
      <c r="A60" s="32"/>
      <c r="B60" s="3"/>
      <c r="C60" s="32"/>
      <c r="M60" s="2"/>
      <c r="O60" s="2"/>
      <c r="Z60" s="3"/>
      <c r="AA60" s="33"/>
      <c r="AB60" s="33"/>
      <c r="AC60" s="33"/>
      <c r="AD60" s="33"/>
      <c r="AE60" s="3"/>
      <c r="AF60" s="3"/>
      <c r="AG60" s="3"/>
      <c r="AH60" s="3"/>
      <c r="AI60" s="3"/>
    </row>
    <row r="61" spans="1:35">
      <c r="A61" s="32"/>
      <c r="B61" s="3"/>
      <c r="C61" s="32"/>
      <c r="M61" s="2"/>
      <c r="O61" s="2"/>
      <c r="Z61" s="3"/>
      <c r="AA61" s="33"/>
      <c r="AB61" s="33"/>
      <c r="AC61" s="33"/>
      <c r="AD61" s="33"/>
      <c r="AE61" s="3"/>
      <c r="AF61" s="3"/>
      <c r="AG61" s="3"/>
      <c r="AH61" s="3"/>
      <c r="AI61" s="3"/>
    </row>
    <row r="62" spans="1:35">
      <c r="A62" s="32"/>
      <c r="B62" s="3"/>
      <c r="C62" s="32"/>
      <c r="M62" s="2"/>
      <c r="O62" s="2"/>
      <c r="Z62" s="3"/>
      <c r="AA62" s="33"/>
      <c r="AB62" s="33"/>
      <c r="AC62" s="33"/>
      <c r="AD62" s="33"/>
      <c r="AE62" s="3"/>
      <c r="AF62" s="3"/>
      <c r="AG62" s="3"/>
      <c r="AH62" s="3"/>
      <c r="AI62" s="3"/>
    </row>
    <row r="63" spans="1:35">
      <c r="A63" s="32"/>
      <c r="B63" s="3"/>
      <c r="C63" s="32"/>
      <c r="M63" s="2"/>
      <c r="O63" s="2"/>
      <c r="Z63" s="3"/>
      <c r="AA63" s="33"/>
      <c r="AB63" s="33"/>
      <c r="AC63" s="33"/>
      <c r="AD63" s="33"/>
      <c r="AE63" s="3"/>
      <c r="AF63" s="3"/>
      <c r="AG63" s="3"/>
      <c r="AH63" s="3"/>
      <c r="AI63" s="3"/>
    </row>
    <row r="64" spans="1:35">
      <c r="A64" s="32"/>
      <c r="B64" s="3"/>
      <c r="C64" s="32"/>
      <c r="M64" s="2"/>
      <c r="O64" s="2"/>
      <c r="Z64" s="3"/>
      <c r="AA64" s="33"/>
      <c r="AB64" s="33"/>
      <c r="AC64" s="33"/>
      <c r="AD64" s="33"/>
      <c r="AE64" s="3"/>
      <c r="AF64" s="3"/>
      <c r="AG64" s="3"/>
      <c r="AH64" s="3"/>
      <c r="AI64" s="3"/>
    </row>
    <row r="65" spans="1:35">
      <c r="A65" s="32"/>
      <c r="B65" s="3"/>
      <c r="C65" s="32"/>
      <c r="M65" s="2"/>
      <c r="O65" s="2"/>
      <c r="Z65" s="3"/>
      <c r="AA65" s="33"/>
      <c r="AB65" s="33"/>
      <c r="AC65" s="33"/>
      <c r="AD65" s="33"/>
      <c r="AE65" s="3"/>
      <c r="AF65" s="3"/>
      <c r="AG65" s="3"/>
      <c r="AH65" s="3"/>
      <c r="AI65" s="3"/>
    </row>
    <row r="66" spans="1:35">
      <c r="A66" s="32"/>
      <c r="B66" s="3"/>
      <c r="C66" s="32"/>
      <c r="M66" s="2"/>
      <c r="O66" s="2"/>
      <c r="Z66" s="3"/>
      <c r="AA66" s="33"/>
      <c r="AB66" s="33"/>
      <c r="AC66" s="33"/>
      <c r="AD66" s="33"/>
      <c r="AE66" s="3"/>
      <c r="AF66" s="3"/>
      <c r="AG66" s="3"/>
      <c r="AH66" s="3"/>
      <c r="AI66" s="3"/>
    </row>
    <row r="67" spans="1:35">
      <c r="A67" s="32"/>
      <c r="B67" s="3"/>
      <c r="C67" s="32"/>
      <c r="M67" s="2"/>
      <c r="O67" s="2"/>
      <c r="Z67" s="3"/>
      <c r="AA67" s="33"/>
      <c r="AB67" s="33"/>
      <c r="AC67" s="33"/>
      <c r="AD67" s="33"/>
      <c r="AE67" s="3"/>
      <c r="AF67" s="3"/>
      <c r="AG67" s="3"/>
      <c r="AH67" s="3"/>
      <c r="AI67" s="3"/>
    </row>
    <row r="68" spans="1:35">
      <c r="A68" s="32"/>
      <c r="B68" s="3"/>
      <c r="C68" s="32"/>
      <c r="M68" s="2"/>
      <c r="O68" s="2"/>
      <c r="Z68" s="3"/>
      <c r="AA68" s="33"/>
      <c r="AB68" s="33"/>
      <c r="AC68" s="33"/>
      <c r="AD68" s="33"/>
      <c r="AE68" s="3"/>
      <c r="AF68" s="3"/>
      <c r="AG68" s="3"/>
      <c r="AH68" s="3"/>
      <c r="AI68" s="3"/>
    </row>
    <row r="69" spans="1:35">
      <c r="A69" s="32"/>
      <c r="B69" s="3"/>
      <c r="C69" s="32"/>
      <c r="M69" s="2"/>
      <c r="O69" s="2"/>
      <c r="Z69" s="3"/>
      <c r="AA69" s="33"/>
      <c r="AB69" s="33"/>
      <c r="AC69" s="33"/>
      <c r="AD69" s="33"/>
      <c r="AE69" s="3"/>
      <c r="AF69" s="3"/>
      <c r="AG69" s="3"/>
      <c r="AH69" s="3"/>
      <c r="AI69" s="3"/>
    </row>
    <row r="70" spans="1:35">
      <c r="A70" s="32"/>
      <c r="B70" s="3"/>
      <c r="C70" s="32"/>
      <c r="M70" s="2"/>
      <c r="O70" s="2"/>
      <c r="Z70" s="3"/>
      <c r="AA70" s="33"/>
      <c r="AB70" s="33"/>
      <c r="AC70" s="33"/>
      <c r="AD70" s="33"/>
      <c r="AE70" s="3"/>
      <c r="AF70" s="3"/>
      <c r="AG70" s="3"/>
      <c r="AH70" s="3"/>
      <c r="AI70" s="3"/>
    </row>
    <row r="71" spans="1:35">
      <c r="A71" s="32"/>
      <c r="B71" s="3"/>
      <c r="C71" s="32"/>
      <c r="M71" s="2"/>
      <c r="O71" s="2"/>
      <c r="Z71" s="3"/>
      <c r="AA71" s="33"/>
      <c r="AB71" s="33"/>
      <c r="AC71" s="33"/>
      <c r="AD71" s="33"/>
      <c r="AE71" s="3"/>
      <c r="AF71" s="3"/>
      <c r="AG71" s="3"/>
      <c r="AH71" s="3"/>
      <c r="AI71" s="3"/>
    </row>
    <row r="72" spans="1:35">
      <c r="A72" s="32"/>
      <c r="B72" s="3"/>
      <c r="C72" s="32"/>
      <c r="M72" s="2"/>
      <c r="O72" s="2"/>
      <c r="Z72" s="3"/>
      <c r="AA72" s="33"/>
      <c r="AB72" s="33"/>
      <c r="AC72" s="33"/>
      <c r="AD72" s="33"/>
      <c r="AE72" s="3"/>
      <c r="AF72" s="3"/>
      <c r="AG72" s="3"/>
      <c r="AH72" s="3"/>
      <c r="AI72" s="3"/>
    </row>
    <row r="73" spans="1:35">
      <c r="A73" s="32"/>
      <c r="B73" s="3"/>
      <c r="C73" s="32"/>
      <c r="M73" s="2"/>
      <c r="O73" s="2"/>
      <c r="Z73" s="3"/>
      <c r="AA73" s="33"/>
      <c r="AB73" s="33"/>
      <c r="AC73" s="33"/>
      <c r="AD73" s="33"/>
      <c r="AE73" s="3"/>
      <c r="AF73" s="3"/>
      <c r="AG73" s="3"/>
      <c r="AH73" s="3"/>
      <c r="AI73" s="3"/>
    </row>
    <row r="74" spans="1:35">
      <c r="A74" s="32"/>
      <c r="B74" s="3"/>
      <c r="C74" s="32"/>
      <c r="M74" s="2"/>
      <c r="O74" s="2"/>
      <c r="Z74" s="3"/>
      <c r="AA74" s="33"/>
      <c r="AB74" s="33"/>
      <c r="AC74" s="33"/>
      <c r="AD74" s="33"/>
      <c r="AE74" s="3"/>
      <c r="AF74" s="3"/>
      <c r="AG74" s="3"/>
      <c r="AH74" s="3"/>
      <c r="AI74" s="3"/>
    </row>
    <row r="75" spans="1:35">
      <c r="A75" s="32"/>
      <c r="B75" s="3"/>
      <c r="C75" s="32"/>
      <c r="M75" s="2"/>
      <c r="O75" s="2"/>
      <c r="Z75" s="3"/>
      <c r="AA75" s="33"/>
      <c r="AB75" s="33"/>
      <c r="AC75" s="33"/>
      <c r="AD75" s="33"/>
      <c r="AE75" s="3"/>
      <c r="AF75" s="3"/>
      <c r="AG75" s="3"/>
      <c r="AH75" s="3"/>
      <c r="AI75" s="3"/>
    </row>
    <row r="76" spans="1:35">
      <c r="A76" s="32"/>
      <c r="B76" s="3"/>
      <c r="C76" s="32"/>
      <c r="M76" s="2"/>
      <c r="O76" s="2"/>
      <c r="Z76" s="3"/>
      <c r="AA76" s="33"/>
      <c r="AB76" s="33"/>
      <c r="AC76" s="33"/>
      <c r="AD76" s="33"/>
      <c r="AE76" s="3"/>
      <c r="AF76" s="3"/>
      <c r="AG76" s="3"/>
      <c r="AH76" s="3"/>
      <c r="AI76" s="3"/>
    </row>
    <row r="77" spans="1:35">
      <c r="A77" s="32"/>
      <c r="B77" s="3"/>
      <c r="C77" s="32"/>
      <c r="M77" s="2"/>
      <c r="O77" s="2"/>
      <c r="Z77" s="3"/>
      <c r="AA77" s="33"/>
      <c r="AB77" s="33"/>
      <c r="AC77" s="33"/>
      <c r="AD77" s="33"/>
      <c r="AE77" s="3"/>
      <c r="AF77" s="3"/>
      <c r="AG77" s="3"/>
      <c r="AH77" s="3"/>
      <c r="AI77" s="3"/>
    </row>
    <row r="78" spans="1:35">
      <c r="A78" s="32"/>
      <c r="B78" s="3"/>
      <c r="C78" s="32"/>
      <c r="M78" s="2"/>
      <c r="O78" s="2"/>
      <c r="Z78" s="3"/>
      <c r="AA78" s="33"/>
      <c r="AB78" s="33"/>
      <c r="AC78" s="33"/>
      <c r="AD78" s="33"/>
      <c r="AE78" s="3"/>
      <c r="AF78" s="3"/>
      <c r="AG78" s="3"/>
      <c r="AH78" s="3"/>
      <c r="AI78" s="3"/>
    </row>
    <row r="79" spans="1:35">
      <c r="A79" s="32"/>
      <c r="B79" s="3"/>
      <c r="C79" s="32"/>
      <c r="M79" s="2"/>
      <c r="O79" s="2"/>
      <c r="Z79" s="3"/>
      <c r="AA79" s="33"/>
      <c r="AB79" s="33"/>
      <c r="AC79" s="33"/>
      <c r="AD79" s="33"/>
      <c r="AE79" s="3"/>
      <c r="AF79" s="3"/>
      <c r="AG79" s="3"/>
      <c r="AH79" s="3"/>
      <c r="AI79" s="3"/>
    </row>
    <row r="80" spans="1:35">
      <c r="A80" s="32"/>
      <c r="B80" s="3"/>
      <c r="C80" s="32"/>
      <c r="M80" s="2"/>
      <c r="O80" s="2"/>
      <c r="Z80" s="3"/>
      <c r="AA80" s="33"/>
      <c r="AB80" s="33"/>
      <c r="AC80" s="33"/>
      <c r="AD80" s="33"/>
      <c r="AE80" s="3"/>
      <c r="AF80" s="3"/>
      <c r="AG80" s="3"/>
      <c r="AH80" s="3"/>
      <c r="AI80" s="3"/>
    </row>
    <row r="81" spans="1:35">
      <c r="A81" s="32"/>
      <c r="B81" s="3"/>
      <c r="C81" s="32"/>
      <c r="M81" s="2"/>
      <c r="O81" s="2"/>
      <c r="Z81" s="3"/>
      <c r="AA81" s="33"/>
      <c r="AB81" s="33"/>
      <c r="AC81" s="33"/>
      <c r="AD81" s="33"/>
      <c r="AE81" s="3"/>
      <c r="AF81" s="3"/>
      <c r="AG81" s="3"/>
      <c r="AH81" s="3"/>
      <c r="AI81" s="3"/>
    </row>
    <row r="82" spans="1:35">
      <c r="A82" s="32"/>
      <c r="B82" s="3"/>
      <c r="C82" s="32"/>
      <c r="M82" s="2"/>
      <c r="O82" s="2"/>
      <c r="Z82" s="3"/>
      <c r="AA82" s="33"/>
      <c r="AB82" s="33"/>
      <c r="AC82" s="33"/>
      <c r="AD82" s="33"/>
      <c r="AE82" s="3"/>
      <c r="AF82" s="3"/>
      <c r="AG82" s="3"/>
      <c r="AH82" s="3"/>
      <c r="AI82" s="3"/>
    </row>
    <row r="83" spans="1:35">
      <c r="A83" s="32"/>
      <c r="B83" s="3"/>
      <c r="C83" s="32"/>
      <c r="M83" s="2"/>
      <c r="O83" s="2"/>
      <c r="Z83" s="3"/>
      <c r="AA83" s="33"/>
      <c r="AB83" s="33"/>
      <c r="AC83" s="33"/>
      <c r="AD83" s="33"/>
      <c r="AE83" s="3"/>
      <c r="AF83" s="3"/>
      <c r="AG83" s="3"/>
      <c r="AH83" s="3"/>
      <c r="AI83" s="3"/>
    </row>
    <row r="84" spans="1:35">
      <c r="A84" s="32"/>
      <c r="B84" s="3"/>
      <c r="C84" s="32"/>
      <c r="M84" s="2"/>
      <c r="O84" s="2"/>
      <c r="Z84" s="3"/>
      <c r="AA84" s="33"/>
      <c r="AB84" s="33"/>
      <c r="AC84" s="33"/>
      <c r="AD84" s="33"/>
      <c r="AE84" s="3"/>
      <c r="AF84" s="3"/>
      <c r="AG84" s="3"/>
      <c r="AH84" s="3"/>
      <c r="AI84" s="3"/>
    </row>
    <row r="85" spans="1:35">
      <c r="A85" s="32"/>
      <c r="B85" s="3"/>
      <c r="C85" s="32"/>
      <c r="M85" s="2"/>
      <c r="O85" s="2"/>
      <c r="Z85" s="3"/>
      <c r="AA85" s="33"/>
      <c r="AB85" s="33"/>
      <c r="AC85" s="33"/>
      <c r="AD85" s="33"/>
      <c r="AE85" s="3"/>
      <c r="AF85" s="3"/>
      <c r="AG85" s="3"/>
      <c r="AH85" s="3"/>
      <c r="AI85" s="3"/>
    </row>
    <row r="86" spans="1:35">
      <c r="A86" s="32"/>
      <c r="B86" s="3"/>
      <c r="C86" s="32"/>
      <c r="M86" s="2"/>
      <c r="O86" s="2"/>
      <c r="Z86" s="3"/>
      <c r="AA86" s="33"/>
      <c r="AB86" s="33"/>
      <c r="AC86" s="33"/>
      <c r="AD86" s="33"/>
      <c r="AE86" s="3"/>
      <c r="AF86" s="3"/>
      <c r="AG86" s="3"/>
      <c r="AH86" s="3"/>
      <c r="AI86" s="3"/>
    </row>
    <row r="87" spans="1:35">
      <c r="A87" s="32"/>
      <c r="B87" s="3"/>
      <c r="C87" s="32"/>
      <c r="M87" s="2"/>
      <c r="O87" s="2"/>
      <c r="Z87" s="3"/>
      <c r="AA87" s="33"/>
      <c r="AB87" s="33"/>
      <c r="AC87" s="33"/>
      <c r="AD87" s="33"/>
      <c r="AE87" s="3"/>
      <c r="AF87" s="3"/>
      <c r="AG87" s="3"/>
      <c r="AH87" s="3"/>
      <c r="AI87" s="3"/>
    </row>
    <row r="88" spans="1:35">
      <c r="A88" s="32"/>
      <c r="B88" s="3"/>
      <c r="C88" s="32"/>
      <c r="M88" s="2"/>
      <c r="O88" s="2"/>
      <c r="Z88" s="3"/>
      <c r="AA88" s="33"/>
      <c r="AB88" s="33"/>
      <c r="AC88" s="33"/>
      <c r="AD88" s="33"/>
      <c r="AE88" s="3"/>
      <c r="AF88" s="3"/>
      <c r="AG88" s="3"/>
      <c r="AH88" s="3"/>
      <c r="AI88" s="3"/>
    </row>
    <row r="89" spans="1:35">
      <c r="A89" s="32"/>
      <c r="B89" s="3"/>
      <c r="C89" s="32"/>
      <c r="M89" s="2"/>
      <c r="O89" s="2"/>
      <c r="Z89" s="3"/>
      <c r="AA89" s="33"/>
      <c r="AB89" s="33"/>
      <c r="AC89" s="33"/>
      <c r="AD89" s="33"/>
      <c r="AE89" s="3"/>
      <c r="AF89" s="3"/>
      <c r="AG89" s="3"/>
      <c r="AH89" s="3"/>
      <c r="AI89" s="3"/>
    </row>
    <row r="90" spans="1:35">
      <c r="A90" s="32"/>
      <c r="B90" s="3"/>
      <c r="C90" s="32"/>
      <c r="M90" s="2"/>
      <c r="O90" s="2"/>
      <c r="Z90" s="3"/>
      <c r="AA90" s="33"/>
      <c r="AB90" s="33"/>
      <c r="AC90" s="33"/>
      <c r="AD90" s="33"/>
      <c r="AE90" s="3"/>
      <c r="AF90" s="3"/>
      <c r="AG90" s="3"/>
      <c r="AH90" s="3"/>
      <c r="AI90" s="3"/>
    </row>
    <row r="91" spans="1:35">
      <c r="A91" s="32"/>
      <c r="B91" s="3"/>
      <c r="C91" s="32"/>
      <c r="M91" s="2"/>
      <c r="O91" s="2"/>
      <c r="Z91" s="3"/>
      <c r="AA91" s="33"/>
      <c r="AB91" s="33"/>
      <c r="AC91" s="33"/>
      <c r="AD91" s="33"/>
      <c r="AE91" s="3"/>
      <c r="AF91" s="3"/>
      <c r="AG91" s="3"/>
      <c r="AH91" s="3"/>
      <c r="AI91" s="3"/>
    </row>
    <row r="92" spans="1:35">
      <c r="A92" s="32"/>
      <c r="B92" s="3"/>
      <c r="C92" s="32"/>
      <c r="M92" s="2"/>
      <c r="O92" s="2"/>
      <c r="Z92" s="3"/>
      <c r="AA92" s="33"/>
      <c r="AB92" s="33"/>
      <c r="AC92" s="33"/>
      <c r="AD92" s="33"/>
      <c r="AE92" s="3"/>
      <c r="AF92" s="3"/>
      <c r="AG92" s="3"/>
      <c r="AH92" s="3"/>
      <c r="AI92" s="3"/>
    </row>
    <row r="93" spans="1:35">
      <c r="A93" s="32"/>
      <c r="B93" s="3"/>
      <c r="C93" s="32"/>
      <c r="M93" s="2"/>
      <c r="O93" s="2"/>
      <c r="Z93" s="3"/>
      <c r="AA93" s="33"/>
      <c r="AB93" s="33"/>
      <c r="AC93" s="33"/>
      <c r="AD93" s="33"/>
      <c r="AE93" s="3"/>
      <c r="AF93" s="3"/>
      <c r="AG93" s="3"/>
      <c r="AH93" s="3"/>
      <c r="AI93" s="3"/>
    </row>
    <row r="94" spans="1:35">
      <c r="A94" s="32"/>
      <c r="B94" s="3"/>
      <c r="C94" s="32"/>
      <c r="M94" s="2"/>
      <c r="O94" s="2"/>
      <c r="Z94" s="3"/>
      <c r="AA94" s="33"/>
      <c r="AB94" s="33"/>
      <c r="AC94" s="33"/>
      <c r="AD94" s="33"/>
      <c r="AE94" s="3"/>
      <c r="AF94" s="3"/>
      <c r="AG94" s="3"/>
      <c r="AH94" s="3"/>
      <c r="AI94" s="3"/>
    </row>
    <row r="95" spans="1:35">
      <c r="A95" s="32"/>
      <c r="B95" s="3"/>
      <c r="C95" s="32"/>
      <c r="M95" s="2"/>
      <c r="O95" s="2"/>
      <c r="Z95" s="3"/>
      <c r="AA95" s="33"/>
      <c r="AB95" s="33"/>
      <c r="AC95" s="33"/>
      <c r="AD95" s="33"/>
      <c r="AE95" s="3"/>
      <c r="AF95" s="3"/>
      <c r="AG95" s="3"/>
      <c r="AH95" s="3"/>
      <c r="AI95" s="3"/>
    </row>
    <row r="96" spans="1:35">
      <c r="A96" s="32"/>
      <c r="B96" s="3"/>
      <c r="C96" s="32"/>
      <c r="M96" s="2"/>
      <c r="O96" s="2"/>
      <c r="Z96" s="3"/>
      <c r="AA96" s="33"/>
      <c r="AB96" s="33"/>
      <c r="AC96" s="33"/>
      <c r="AD96" s="33"/>
      <c r="AE96" s="3"/>
      <c r="AF96" s="3"/>
      <c r="AG96" s="3"/>
      <c r="AH96" s="3"/>
      <c r="AI96" s="3"/>
    </row>
    <row r="97" spans="1:35">
      <c r="A97" s="32"/>
      <c r="B97" s="3"/>
      <c r="C97" s="32"/>
      <c r="M97" s="2"/>
      <c r="O97" s="2"/>
      <c r="Z97" s="3"/>
      <c r="AA97" s="33"/>
      <c r="AB97" s="33"/>
      <c r="AC97" s="33"/>
      <c r="AD97" s="33"/>
      <c r="AE97" s="3"/>
      <c r="AF97" s="3"/>
      <c r="AG97" s="3"/>
      <c r="AH97" s="3"/>
      <c r="AI97" s="3"/>
    </row>
    <row r="98" spans="1:35">
      <c r="A98" s="32"/>
      <c r="B98" s="3"/>
      <c r="C98" s="32"/>
      <c r="M98" s="2"/>
      <c r="O98" s="2"/>
      <c r="Z98" s="3"/>
      <c r="AA98" s="33"/>
      <c r="AB98" s="33"/>
      <c r="AC98" s="33"/>
      <c r="AD98" s="33"/>
      <c r="AE98" s="3"/>
      <c r="AF98" s="3"/>
      <c r="AG98" s="3"/>
      <c r="AH98" s="3"/>
      <c r="AI98" s="3"/>
    </row>
    <row r="99" spans="1:35">
      <c r="A99" s="32"/>
      <c r="B99" s="3"/>
      <c r="C99" s="32"/>
      <c r="M99" s="2"/>
      <c r="O99" s="2"/>
      <c r="Z99" s="3"/>
      <c r="AA99" s="33"/>
      <c r="AB99" s="33"/>
      <c r="AC99" s="33"/>
      <c r="AD99" s="33"/>
      <c r="AE99" s="3"/>
      <c r="AF99" s="3"/>
      <c r="AG99" s="3"/>
      <c r="AH99" s="3"/>
      <c r="AI99" s="3"/>
    </row>
    <row r="100" spans="1:35">
      <c r="A100" s="32"/>
      <c r="B100" s="3"/>
      <c r="C100" s="32"/>
      <c r="M100" s="2"/>
      <c r="O100" s="2"/>
      <c r="Z100" s="3"/>
      <c r="AA100" s="33"/>
      <c r="AB100" s="33"/>
      <c r="AC100" s="33"/>
      <c r="AD100" s="33"/>
      <c r="AE100" s="3"/>
      <c r="AF100" s="3"/>
      <c r="AG100" s="3"/>
      <c r="AH100" s="3"/>
      <c r="AI100" s="3"/>
    </row>
    <row r="101" spans="1:35">
      <c r="A101" s="32"/>
      <c r="B101" s="3"/>
      <c r="C101" s="32"/>
      <c r="M101" s="2"/>
      <c r="O101" s="2"/>
      <c r="Z101" s="3"/>
      <c r="AA101" s="33"/>
      <c r="AB101" s="33"/>
      <c r="AC101" s="33"/>
      <c r="AD101" s="33"/>
      <c r="AE101" s="3"/>
      <c r="AF101" s="3"/>
      <c r="AG101" s="3"/>
      <c r="AH101" s="3"/>
      <c r="AI101" s="3"/>
    </row>
  </sheetData>
  <mergeCells count="18">
    <mergeCell ref="U3:W3"/>
    <mergeCell ref="I3:L3"/>
    <mergeCell ref="A3:A4"/>
    <mergeCell ref="B3:B4"/>
    <mergeCell ref="A1:Z1"/>
    <mergeCell ref="Y3:Y4"/>
    <mergeCell ref="Z3:Z4"/>
    <mergeCell ref="C3:C4"/>
    <mergeCell ref="D3:D4"/>
    <mergeCell ref="E3:H3"/>
    <mergeCell ref="M3:P3"/>
    <mergeCell ref="Q3:T3"/>
    <mergeCell ref="AB1:AJ1"/>
    <mergeCell ref="AN1:AU1"/>
    <mergeCell ref="A2:W2"/>
    <mergeCell ref="Y2:Z2"/>
    <mergeCell ref="AB2:AJ2"/>
    <mergeCell ref="AN2:AU2"/>
  </mergeCells>
  <phoneticPr fontId="1" type="noConversion"/>
  <printOptions horizontalCentered="1"/>
  <pageMargins left="0" right="0" top="0.19685039370078741" bottom="0.39370078740157483" header="0.31496062992125984" footer="0.11811023622047245"/>
  <pageSetup paperSize="8" scale="55" fitToHeight="0" orientation="landscape" r:id="rId1"/>
  <headerFooter>
    <oddFooter>&amp;C第&amp;P頁 共&amp;N頁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10</vt:i4>
      </vt:variant>
    </vt:vector>
  </HeadingPairs>
  <TitlesOfParts>
    <vt:vector size="15" baseType="lpstr">
      <vt:lpstr>計畫書</vt:lpstr>
      <vt:lpstr>計算書</vt:lpstr>
      <vt:lpstr>廠商檢測性報告</vt:lpstr>
      <vt:lpstr>計畫書 (2)</vt:lpstr>
      <vt:lpstr>施工圖</vt:lpstr>
      <vt:lpstr>施工圖!Print_Area</vt:lpstr>
      <vt:lpstr>計畫書!Print_Area</vt:lpstr>
      <vt:lpstr>'計畫書 (2)'!Print_Area</vt:lpstr>
      <vt:lpstr>計算書!Print_Area</vt:lpstr>
      <vt:lpstr>廠商檢測性報告!Print_Area</vt:lpstr>
      <vt:lpstr>施工圖!Print_Titles</vt:lpstr>
      <vt:lpstr>計畫書!Print_Titles</vt:lpstr>
      <vt:lpstr>'計畫書 (2)'!Print_Titles</vt:lpstr>
      <vt:lpstr>計算書!Print_Titles</vt:lpstr>
      <vt:lpstr>廠商檢測性報告!Print_Titles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2025-04-02T07:19:59Z</cp:lastPrinted>
  <dcterms:created xsi:type="dcterms:W3CDTF">2023-03-22T13:42:26Z</dcterms:created>
  <dcterms:modified xsi:type="dcterms:W3CDTF">2025-04-02T07:20:20Z</dcterms:modified>
</cp:coreProperties>
</file>